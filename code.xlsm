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1B953E60-122E-4AB0-8955-B63AEDB95C10}" xr6:coauthVersionLast="34" xr6:coauthVersionMax="34" xr10:uidLastSave="{00000000-0000-0000-0000-000000000000}"/>
  <bookViews>
    <workbookView xWindow="0" yWindow="0" windowWidth="990" windowHeight="480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meta" sheetId="29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4" i="27" l="1"/>
  <c r="W87" i="27"/>
  <c r="W86" i="27"/>
  <c r="W85" i="27"/>
  <c r="W84" i="27"/>
  <c r="W83" i="27"/>
  <c r="W82" i="27"/>
  <c r="W81" i="27"/>
  <c r="W80" i="27"/>
  <c r="W79" i="27"/>
  <c r="W78" i="27"/>
  <c r="W77" i="27"/>
  <c r="W76" i="27"/>
  <c r="W75" i="27"/>
  <c r="W74" i="27"/>
  <c r="W73" i="27"/>
  <c r="W72" i="27"/>
  <c r="W71" i="27"/>
  <c r="W70" i="27"/>
  <c r="W69" i="27"/>
  <c r="W68" i="27"/>
  <c r="W67" i="27"/>
  <c r="W66" i="27"/>
  <c r="W65" i="27"/>
  <c r="W64" i="27"/>
  <c r="W63" i="27"/>
  <c r="W62" i="27"/>
  <c r="W61" i="27"/>
  <c r="W60" i="27"/>
  <c r="W59" i="27"/>
  <c r="W58" i="27"/>
  <c r="W57" i="27"/>
  <c r="W56" i="27"/>
  <c r="W55" i="27"/>
  <c r="W54" i="27"/>
  <c r="W53" i="27"/>
  <c r="W52" i="27"/>
  <c r="W51" i="27"/>
  <c r="W50" i="27"/>
  <c r="W49" i="27"/>
  <c r="W48" i="27"/>
  <c r="W47" i="27"/>
  <c r="W46" i="27"/>
  <c r="W45" i="27"/>
  <c r="W44" i="27"/>
  <c r="W43" i="27"/>
  <c r="W42" i="27"/>
  <c r="W41" i="27"/>
  <c r="W40" i="27"/>
  <c r="W39" i="27"/>
  <c r="W38" i="27"/>
  <c r="W37" i="27"/>
  <c r="W36" i="27"/>
  <c r="W35" i="27"/>
  <c r="W34" i="27"/>
  <c r="W33" i="27"/>
  <c r="W32" i="27"/>
  <c r="W31" i="27"/>
  <c r="W30" i="27"/>
  <c r="W29" i="27"/>
  <c r="W28" i="27"/>
  <c r="W27" i="27"/>
  <c r="W26" i="27"/>
  <c r="W25" i="27"/>
  <c r="W24" i="27"/>
  <c r="W23" i="27"/>
  <c r="W22" i="27"/>
  <c r="W21" i="27"/>
  <c r="W20" i="27"/>
  <c r="W19" i="27"/>
  <c r="W18" i="27"/>
  <c r="W17" i="27"/>
  <c r="W16" i="27"/>
  <c r="W15" i="27"/>
  <c r="W14" i="27"/>
  <c r="W13" i="27"/>
  <c r="N94" i="27"/>
  <c r="N87" i="27"/>
  <c r="N86" i="27"/>
  <c r="N85" i="27"/>
  <c r="N84" i="27"/>
  <c r="N83" i="27"/>
  <c r="N82" i="27"/>
  <c r="N81" i="27"/>
  <c r="N80" i="27"/>
  <c r="N79" i="27"/>
  <c r="N78" i="27"/>
  <c r="N77" i="27"/>
  <c r="N76" i="27"/>
  <c r="N75" i="27"/>
  <c r="N74" i="27"/>
  <c r="N73" i="27"/>
  <c r="N72" i="27"/>
  <c r="N71" i="27"/>
  <c r="N70" i="27"/>
  <c r="N69" i="27"/>
  <c r="N68" i="27"/>
  <c r="N67" i="27"/>
  <c r="N66" i="27"/>
  <c r="N65" i="27"/>
  <c r="N64" i="27"/>
  <c r="N63" i="27"/>
  <c r="N62" i="27"/>
  <c r="N61" i="27"/>
  <c r="N60" i="27"/>
  <c r="N59" i="27"/>
  <c r="N58" i="27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C2" i="28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J17" i="1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H13" i="27" s="1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H6" i="3"/>
  <c r="K6" i="3"/>
  <c r="K7" i="3"/>
  <c r="H7" i="3"/>
  <c r="H89" i="27" l="1" a="1"/>
  <c r="H89" i="27" s="1"/>
  <c r="I13" i="27"/>
  <c r="E14" i="27"/>
  <c r="H14" i="27" s="1"/>
  <c r="N11" i="1"/>
  <c r="O11" i="1"/>
  <c r="P11" i="1"/>
  <c r="E5" i="1"/>
  <c r="E7" i="1"/>
  <c r="I14" i="27" l="1"/>
  <c r="K14" i="27" s="1"/>
  <c r="E15" i="27"/>
  <c r="H15" i="27" s="1"/>
  <c r="H16" i="1"/>
  <c r="H17" i="1"/>
  <c r="I15" i="27" l="1"/>
  <c r="K15" i="27" s="1"/>
  <c r="E16" i="27"/>
  <c r="H16" i="27" s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I16" i="27" l="1"/>
  <c r="K16" i="27" s="1"/>
  <c r="T13" i="27"/>
  <c r="T14" i="27"/>
  <c r="T16" i="27"/>
  <c r="T15" i="27"/>
  <c r="Q13" i="27"/>
  <c r="Q14" i="27"/>
  <c r="Q15" i="27"/>
  <c r="Q16" i="27"/>
  <c r="E17" i="27"/>
  <c r="H17" i="27" s="1"/>
  <c r="D22" i="28"/>
  <c r="D47" i="28"/>
  <c r="D8" i="28"/>
  <c r="D15" i="28"/>
  <c r="G15" i="28"/>
  <c r="D12" i="28" s="1"/>
  <c r="G8" i="28"/>
  <c r="D5" i="28" s="1"/>
  <c r="G29" i="28"/>
  <c r="D26" i="28" s="1"/>
  <c r="G22" i="28"/>
  <c r="D19" i="28" s="1"/>
  <c r="K13" i="27" s="1"/>
  <c r="I17" i="27" l="1"/>
  <c r="K17" i="27" s="1"/>
  <c r="T17" i="27"/>
  <c r="Q17" i="27"/>
  <c r="E18" i="27"/>
  <c r="H18" i="27" s="1"/>
  <c r="E8" i="1"/>
  <c r="D11" i="3"/>
  <c r="K8" i="1"/>
  <c r="F5" i="24"/>
  <c r="E196" i="24"/>
  <c r="E195" i="24"/>
  <c r="E194" i="24"/>
  <c r="E193" i="24"/>
  <c r="E192" i="24"/>
  <c r="E191" i="24"/>
  <c r="I18" i="27" l="1"/>
  <c r="K18" i="27" s="1"/>
  <c r="T18" i="27"/>
  <c r="Q18" i="27"/>
  <c r="E19" i="27"/>
  <c r="H19" i="27" s="1"/>
  <c r="C7" i="1"/>
  <c r="I19" i="27" l="1"/>
  <c r="K19" i="27" s="1"/>
  <c r="T19" i="27"/>
  <c r="Q19" i="27"/>
  <c r="E20" i="27"/>
  <c r="H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I20" i="27" l="1"/>
  <c r="K20" i="27" s="1"/>
  <c r="T20" i="27"/>
  <c r="K94" i="27"/>
  <c r="Q94" i="27"/>
  <c r="Q20" i="27"/>
  <c r="H94" i="27"/>
  <c r="E21" i="27"/>
  <c r="H21" i="27" s="1"/>
  <c r="E13" i="26"/>
  <c r="D13" i="26"/>
  <c r="AO17" i="1"/>
  <c r="E12" i="26"/>
  <c r="D12" i="26"/>
  <c r="AO16" i="1"/>
  <c r="AO34" i="1"/>
  <c r="AM34" i="1" s="1"/>
  <c r="H34" i="1"/>
  <c r="G34" i="1"/>
  <c r="AV16" i="1"/>
  <c r="AV17" i="1"/>
  <c r="I21" i="27" l="1"/>
  <c r="K21" i="27" s="1"/>
  <c r="T21" i="27"/>
  <c r="Q21" i="27"/>
  <c r="E22" i="27"/>
  <c r="H22" i="27" s="1"/>
  <c r="AM16" i="1"/>
  <c r="J12" i="20" s="1"/>
  <c r="AM17" i="1"/>
  <c r="J13" i="20" s="1"/>
  <c r="F11" i="26"/>
  <c r="I22" i="27" l="1"/>
  <c r="K22" i="27" s="1"/>
  <c r="T22" i="27"/>
  <c r="Q22" i="27"/>
  <c r="E23" i="27"/>
  <c r="H23" i="27" s="1"/>
  <c r="K12" i="19"/>
  <c r="J12" i="19"/>
  <c r="I12" i="19"/>
  <c r="E12" i="19"/>
  <c r="K10" i="24"/>
  <c r="I23" i="27" l="1"/>
  <c r="K23" i="27" s="1"/>
  <c r="T23" i="27"/>
  <c r="Q23" i="27"/>
  <c r="E24" i="27"/>
  <c r="H24" i="27" s="1"/>
  <c r="L12" i="19"/>
  <c r="K7" i="1"/>
  <c r="H7" i="1"/>
  <c r="H6" i="1"/>
  <c r="H5" i="1"/>
  <c r="D94" i="27"/>
  <c r="I24" i="27" l="1"/>
  <c r="K24" i="27" s="1"/>
  <c r="T24" i="27"/>
  <c r="Q24" i="27"/>
  <c r="E25" i="27"/>
  <c r="H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I25" i="27" l="1"/>
  <c r="K25" i="27" s="1"/>
  <c r="T25" i="27"/>
  <c r="Q25" i="27"/>
  <c r="E26" i="27"/>
  <c r="H26" i="27" s="1"/>
  <c r="AS16" i="1"/>
  <c r="AS17" i="1"/>
  <c r="AS34" i="1"/>
  <c r="AL90" i="27"/>
  <c r="AW17" i="1"/>
  <c r="AW16" i="1"/>
  <c r="I26" i="27" l="1"/>
  <c r="K26" i="27" s="1"/>
  <c r="T26" i="27"/>
  <c r="Q26" i="27"/>
  <c r="E27" i="27"/>
  <c r="H27" i="27" s="1"/>
  <c r="AK17" i="1"/>
  <c r="I13" i="20" s="1"/>
  <c r="L13" i="20" s="1"/>
  <c r="AK16" i="1"/>
  <c r="I12" i="20" s="1"/>
  <c r="L12" i="20" s="1"/>
  <c r="AY16" i="1"/>
  <c r="AL16" i="1"/>
  <c r="AL17" i="1"/>
  <c r="AY17" i="1"/>
  <c r="I7" i="26"/>
  <c r="CH7" i="26"/>
  <c r="I27" i="27" l="1"/>
  <c r="K27" i="27" s="1"/>
  <c r="T27" i="27"/>
  <c r="Q27" i="27"/>
  <c r="E28" i="27"/>
  <c r="H28" i="27" s="1"/>
  <c r="J7" i="26"/>
  <c r="K7" i="26" s="1"/>
  <c r="L7" i="26" s="1"/>
  <c r="M7" i="26" s="1"/>
  <c r="I1" i="26"/>
  <c r="I28" i="27" l="1"/>
  <c r="K28" i="27" s="1"/>
  <c r="T28" i="27"/>
  <c r="Q28" i="27"/>
  <c r="E29" i="27"/>
  <c r="H29" i="27" s="1"/>
  <c r="N7" i="26"/>
  <c r="O7" i="26" s="1"/>
  <c r="P7" i="26" s="1"/>
  <c r="Q7" i="26" s="1"/>
  <c r="M1" i="26"/>
  <c r="I29" i="27" l="1"/>
  <c r="K29" i="27" s="1"/>
  <c r="T29" i="27"/>
  <c r="Q29" i="27"/>
  <c r="E30" i="27"/>
  <c r="H30" i="27" s="1"/>
  <c r="R7" i="26"/>
  <c r="S7" i="26" s="1"/>
  <c r="T7" i="26" s="1"/>
  <c r="U7" i="26" s="1"/>
  <c r="Q1" i="26"/>
  <c r="I30" i="27" l="1"/>
  <c r="K30" i="27" s="1"/>
  <c r="T30" i="27"/>
  <c r="Q30" i="27"/>
  <c r="E31" i="27"/>
  <c r="H31" i="27" s="1"/>
  <c r="V7" i="26"/>
  <c r="W7" i="26" s="1"/>
  <c r="X7" i="26" s="1"/>
  <c r="Y7" i="26" s="1"/>
  <c r="U1" i="26"/>
  <c r="I31" i="27" l="1"/>
  <c r="K31" i="27" s="1"/>
  <c r="T31" i="27"/>
  <c r="Q31" i="27"/>
  <c r="E32" i="27"/>
  <c r="H32" i="27" s="1"/>
  <c r="Z7" i="26"/>
  <c r="Y1" i="26"/>
  <c r="E11" i="26"/>
  <c r="D11" i="26"/>
  <c r="I32" i="27" l="1"/>
  <c r="K32" i="27" s="1"/>
  <c r="T32" i="27"/>
  <c r="Q32" i="27"/>
  <c r="E33" i="27"/>
  <c r="H33" i="27" s="1"/>
  <c r="AA7" i="26"/>
  <c r="Z1" i="26"/>
  <c r="I33" i="27" l="1"/>
  <c r="K33" i="27" s="1"/>
  <c r="T33" i="27"/>
  <c r="Q33" i="27"/>
  <c r="E34" i="27"/>
  <c r="H34" i="27" s="1"/>
  <c r="AB7" i="26"/>
  <c r="AA1" i="26"/>
  <c r="B11" i="26"/>
  <c r="I34" i="27" l="1"/>
  <c r="K34" i="27" s="1"/>
  <c r="T34" i="27"/>
  <c r="Q34" i="27"/>
  <c r="E35" i="27"/>
  <c r="H35" i="27" s="1"/>
  <c r="AC7" i="26"/>
  <c r="AB1" i="26"/>
  <c r="I35" i="27" l="1"/>
  <c r="K35" i="27" s="1"/>
  <c r="T35" i="27"/>
  <c r="Q35" i="27"/>
  <c r="E36" i="27"/>
  <c r="H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I36" i="27" l="1"/>
  <c r="K36" i="27" s="1"/>
  <c r="T36" i="27"/>
  <c r="Q36" i="27"/>
  <c r="E37" i="27"/>
  <c r="H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J120" i="23"/>
  <c r="J123" i="23"/>
  <c r="J122" i="23"/>
  <c r="J124" i="23"/>
  <c r="J119" i="23"/>
  <c r="H211" i="24"/>
  <c r="J126" i="23"/>
  <c r="J36" i="23"/>
  <c r="M27" i="10"/>
  <c r="J125" i="23"/>
  <c r="J121" i="23"/>
  <c r="T28" i="10"/>
  <c r="H108" i="23"/>
  <c r="AW34" i="1"/>
  <c r="AV34" i="1"/>
  <c r="I37" i="27" l="1"/>
  <c r="K37" i="27" s="1"/>
  <c r="T37" i="27"/>
  <c r="Q37" i="27"/>
  <c r="E38" i="27"/>
  <c r="H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W32" i="1"/>
  <c r="AV32" i="1"/>
  <c r="I38" i="27" l="1"/>
  <c r="K38" i="27" s="1"/>
  <c r="T38" i="27"/>
  <c r="Q38" i="27"/>
  <c r="E39" i="27"/>
  <c r="H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V28" i="1"/>
  <c r="AW28" i="1"/>
  <c r="I39" i="27" l="1"/>
  <c r="K39" i="27" s="1"/>
  <c r="T39" i="27"/>
  <c r="Q39" i="27"/>
  <c r="E40" i="27"/>
  <c r="H40" i="27" s="1"/>
  <c r="AM28" i="1"/>
  <c r="AT28" i="1" s="1"/>
  <c r="AT30" i="1"/>
  <c r="AS30" i="1"/>
  <c r="AY32" i="1"/>
  <c r="AL32" i="1"/>
  <c r="AH7" i="26"/>
  <c r="AG1" i="26"/>
  <c r="I40" i="27" l="1"/>
  <c r="K40" i="27" s="1"/>
  <c r="T40" i="27"/>
  <c r="Q40" i="27"/>
  <c r="E41" i="27"/>
  <c r="H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I41" i="27" l="1"/>
  <c r="K41" i="27" s="1"/>
  <c r="T41" i="27"/>
  <c r="Q41" i="27"/>
  <c r="E42" i="27"/>
  <c r="H42" i="27" s="1"/>
  <c r="AJ7" i="26"/>
  <c r="AI1" i="26"/>
  <c r="I42" i="27" l="1"/>
  <c r="K42" i="27" s="1"/>
  <c r="T42" i="27"/>
  <c r="Q42" i="27"/>
  <c r="E43" i="27"/>
  <c r="H43" i="27" s="1"/>
  <c r="AK7" i="26"/>
  <c r="AJ1" i="26"/>
  <c r="AV14" i="1"/>
  <c r="I43" i="27" l="1"/>
  <c r="K43" i="27" s="1"/>
  <c r="T43" i="27"/>
  <c r="Q43" i="27"/>
  <c r="E44" i="27"/>
  <c r="H44" i="27" s="1"/>
  <c r="AL7" i="26"/>
  <c r="AK1" i="26"/>
  <c r="AK28" i="1"/>
  <c r="AT14" i="1"/>
  <c r="AS14" i="1"/>
  <c r="AU14" i="1"/>
  <c r="AM18" i="1"/>
  <c r="AL28" i="1"/>
  <c r="AY28" i="1"/>
  <c r="J2" i="24"/>
  <c r="L195" i="19" s="1"/>
  <c r="I44" i="27" l="1"/>
  <c r="K44" i="27" s="1"/>
  <c r="T44" i="27"/>
  <c r="Q44" i="27"/>
  <c r="E45" i="27"/>
  <c r="H45" i="27" s="1"/>
  <c r="AM7" i="26"/>
  <c r="AL1" i="26"/>
  <c r="AW14" i="1"/>
  <c r="AL14" i="1"/>
  <c r="K13" i="3" s="1"/>
  <c r="AY14" i="1"/>
  <c r="AU18" i="1"/>
  <c r="AT18" i="1"/>
  <c r="AS18" i="1"/>
  <c r="I45" i="27" l="1"/>
  <c r="K45" i="27" s="1"/>
  <c r="T45" i="27"/>
  <c r="Q45" i="27"/>
  <c r="E46" i="27"/>
  <c r="H46" i="27" s="1"/>
  <c r="AN7" i="26"/>
  <c r="AM1" i="26"/>
  <c r="BC13" i="1"/>
  <c r="I46" i="27" l="1"/>
  <c r="K46" i="27" s="1"/>
  <c r="T46" i="27"/>
  <c r="Q46" i="27"/>
  <c r="E47" i="27"/>
  <c r="H47" i="27" s="1"/>
  <c r="AO7" i="26"/>
  <c r="AN1" i="26"/>
  <c r="I47" i="27" l="1"/>
  <c r="K47" i="27" s="1"/>
  <c r="T47" i="27"/>
  <c r="Q47" i="27"/>
  <c r="E48" i="27"/>
  <c r="H48" i="27" s="1"/>
  <c r="AP7" i="26"/>
  <c r="AO1" i="26"/>
  <c r="I48" i="27" l="1"/>
  <c r="K48" i="27" s="1"/>
  <c r="T48" i="27"/>
  <c r="Q48" i="27"/>
  <c r="E49" i="27"/>
  <c r="H49" i="27" s="1"/>
  <c r="AQ7" i="26"/>
  <c r="AP1" i="26"/>
  <c r="I49" i="27" l="1"/>
  <c r="K49" i="27" s="1"/>
  <c r="T49" i="27"/>
  <c r="Q49" i="27"/>
  <c r="E50" i="27"/>
  <c r="H50" i="27" s="1"/>
  <c r="AR7" i="26"/>
  <c r="AQ1" i="26"/>
  <c r="I50" i="27" l="1"/>
  <c r="K50" i="27" s="1"/>
  <c r="T50" i="27"/>
  <c r="Q50" i="27"/>
  <c r="E51" i="27"/>
  <c r="H51" i="27" s="1"/>
  <c r="AS7" i="26"/>
  <c r="AR1" i="26"/>
  <c r="I51" i="27" l="1"/>
  <c r="K51" i="27" s="1"/>
  <c r="T51" i="27"/>
  <c r="Q51" i="27"/>
  <c r="E52" i="27"/>
  <c r="H52" i="27" s="1"/>
  <c r="AT7" i="26"/>
  <c r="AS1" i="26"/>
  <c r="I52" i="27" l="1"/>
  <c r="K52" i="27" s="1"/>
  <c r="T52" i="27"/>
  <c r="Q52" i="27"/>
  <c r="E53" i="27"/>
  <c r="H53" i="27" s="1"/>
  <c r="AU7" i="26"/>
  <c r="AT1" i="26"/>
  <c r="I53" i="27" l="1"/>
  <c r="K53" i="27" s="1"/>
  <c r="T53" i="27"/>
  <c r="Q53" i="27"/>
  <c r="E54" i="27"/>
  <c r="H54" i="27" s="1"/>
  <c r="AV7" i="26"/>
  <c r="AU1" i="26"/>
  <c r="I54" i="27" l="1"/>
  <c r="K54" i="27" s="1"/>
  <c r="T54" i="27"/>
  <c r="Q54" i="27"/>
  <c r="E55" i="27"/>
  <c r="H55" i="27" s="1"/>
  <c r="AW7" i="26"/>
  <c r="AV1" i="26"/>
  <c r="I55" i="27" l="1"/>
  <c r="K55" i="27" s="1"/>
  <c r="T55" i="27"/>
  <c r="Q55" i="27"/>
  <c r="E56" i="27"/>
  <c r="H56" i="27" s="1"/>
  <c r="AX7" i="26"/>
  <c r="AW1" i="26"/>
  <c r="I56" i="27" l="1"/>
  <c r="K56" i="27" s="1"/>
  <c r="T56" i="27"/>
  <c r="Q56" i="27"/>
  <c r="E57" i="27"/>
  <c r="H57" i="27" s="1"/>
  <c r="AY7" i="26"/>
  <c r="AX1" i="26"/>
  <c r="I57" i="27" l="1"/>
  <c r="K57" i="27" s="1"/>
  <c r="T57" i="27"/>
  <c r="Q57" i="27"/>
  <c r="E58" i="27"/>
  <c r="H58" i="27" s="1"/>
  <c r="AZ7" i="26"/>
  <c r="AY1" i="26"/>
  <c r="I58" i="27" l="1"/>
  <c r="K58" i="27" s="1"/>
  <c r="T58" i="27"/>
  <c r="Q58" i="27"/>
  <c r="E59" i="27"/>
  <c r="H59" i="27" s="1"/>
  <c r="BA7" i="26"/>
  <c r="AZ1" i="26"/>
  <c r="I59" i="27" l="1"/>
  <c r="K59" i="27" s="1"/>
  <c r="T59" i="27"/>
  <c r="Q59" i="27"/>
  <c r="E60" i="27"/>
  <c r="H60" i="27" s="1"/>
  <c r="BB7" i="26"/>
  <c r="BA1" i="26"/>
  <c r="I60" i="27" l="1"/>
  <c r="K60" i="27" s="1"/>
  <c r="T60" i="27"/>
  <c r="Q60" i="27"/>
  <c r="E61" i="27"/>
  <c r="H61" i="27" s="1"/>
  <c r="BC7" i="26"/>
  <c r="BB1" i="26"/>
  <c r="I61" i="27" l="1"/>
  <c r="K61" i="27" s="1"/>
  <c r="T61" i="27"/>
  <c r="Q61" i="27"/>
  <c r="E62" i="27"/>
  <c r="H62" i="27" s="1"/>
  <c r="BD7" i="26"/>
  <c r="BC1" i="26"/>
  <c r="I62" i="27" l="1"/>
  <c r="K62" i="27" s="1"/>
  <c r="T62" i="27"/>
  <c r="Q62" i="27"/>
  <c r="E63" i="27"/>
  <c r="H63" i="27" s="1"/>
  <c r="BE7" i="26"/>
  <c r="BD1" i="26"/>
  <c r="I63" i="27" l="1"/>
  <c r="K63" i="27" s="1"/>
  <c r="T63" i="27"/>
  <c r="Q63" i="27"/>
  <c r="E64" i="27"/>
  <c r="H64" i="27" s="1"/>
  <c r="BF7" i="26"/>
  <c r="BE1" i="26"/>
  <c r="I64" i="27" l="1"/>
  <c r="K64" i="27" s="1"/>
  <c r="T64" i="27"/>
  <c r="Q64" i="27"/>
  <c r="E65" i="27"/>
  <c r="H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I65" i="27" l="1"/>
  <c r="K65" i="27" s="1"/>
  <c r="T65" i="27"/>
  <c r="Q65" i="27"/>
  <c r="E66" i="27"/>
  <c r="H66" i="27" s="1"/>
  <c r="BG1" i="26"/>
  <c r="I66" i="27" l="1"/>
  <c r="K66" i="27" s="1"/>
  <c r="T66" i="27"/>
  <c r="Q66" i="27"/>
  <c r="E67" i="27"/>
  <c r="H67" i="27" s="1"/>
  <c r="L15" i="20"/>
  <c r="I67" i="27" l="1"/>
  <c r="K67" i="27" s="1"/>
  <c r="T67" i="27"/>
  <c r="Q67" i="27"/>
  <c r="E68" i="27"/>
  <c r="H68" i="27" s="1"/>
  <c r="I68" i="27" l="1"/>
  <c r="K68" i="27" s="1"/>
  <c r="T68" i="27"/>
  <c r="Q68" i="27"/>
  <c r="E69" i="27"/>
  <c r="H69" i="27" s="1"/>
  <c r="AW18" i="1"/>
  <c r="AV18" i="1"/>
  <c r="AY18" i="1"/>
  <c r="AL18" i="1"/>
  <c r="I69" i="27" l="1"/>
  <c r="K69" i="27" s="1"/>
  <c r="T69" i="27"/>
  <c r="Q69" i="27"/>
  <c r="E70" i="27"/>
  <c r="H70" i="27" s="1"/>
  <c r="K14" i="3"/>
  <c r="BC15" i="1"/>
  <c r="AW30" i="1"/>
  <c r="AV30" i="1"/>
  <c r="I70" i="27" l="1"/>
  <c r="K70" i="27" s="1"/>
  <c r="T70" i="27"/>
  <c r="Q70" i="27"/>
  <c r="E71" i="27"/>
  <c r="H71" i="27" s="1"/>
  <c r="AK30" i="1"/>
  <c r="AL30" i="1"/>
  <c r="AY30" i="1"/>
  <c r="I71" i="27" l="1"/>
  <c r="K71" i="27" s="1"/>
  <c r="T71" i="27"/>
  <c r="Q71" i="27"/>
  <c r="E72" i="27"/>
  <c r="H72" i="27" s="1"/>
  <c r="I72" i="27" l="1"/>
  <c r="K72" i="27" s="1"/>
  <c r="T72" i="27"/>
  <c r="Q72" i="27"/>
  <c r="E73" i="27"/>
  <c r="H73" i="27" s="1"/>
  <c r="I73" i="27" l="1"/>
  <c r="K73" i="27" s="1"/>
  <c r="T73" i="27"/>
  <c r="Q73" i="27"/>
  <c r="E74" i="27"/>
  <c r="H74" i="27" s="1"/>
  <c r="I74" i="27" l="1"/>
  <c r="K74" i="27" s="1"/>
  <c r="T74" i="27"/>
  <c r="Q74" i="27"/>
  <c r="E75" i="27"/>
  <c r="H75" i="27" s="1"/>
  <c r="I75" i="27" l="1"/>
  <c r="K75" i="27" s="1"/>
  <c r="T75" i="27"/>
  <c r="Q75" i="27"/>
  <c r="E76" i="27"/>
  <c r="H76" i="27" s="1"/>
  <c r="I76" i="27" l="1"/>
  <c r="K76" i="27" s="1"/>
  <c r="T76" i="27"/>
  <c r="Q76" i="27"/>
  <c r="E77" i="27"/>
  <c r="H77" i="27" s="1"/>
  <c r="I77" i="27" l="1"/>
  <c r="K77" i="27" s="1"/>
  <c r="T77" i="27"/>
  <c r="Q77" i="27"/>
  <c r="E78" i="27"/>
  <c r="H78" i="27" s="1"/>
  <c r="I78" i="27" l="1"/>
  <c r="K78" i="27" s="1"/>
  <c r="T78" i="27"/>
  <c r="Q78" i="27"/>
  <c r="E79" i="27"/>
  <c r="H79" i="27" s="1"/>
  <c r="I79" i="27" l="1"/>
  <c r="K79" i="27" s="1"/>
  <c r="T79" i="27"/>
  <c r="Q79" i="27"/>
  <c r="E80" i="27"/>
  <c r="H80" i="27" s="1"/>
  <c r="I80" i="27" l="1"/>
  <c r="K80" i="27" s="1"/>
  <c r="T80" i="27"/>
  <c r="Q80" i="27"/>
  <c r="E81" i="27"/>
  <c r="H81" i="27" s="1"/>
  <c r="I81" i="27" l="1"/>
  <c r="K81" i="27" s="1"/>
  <c r="T81" i="27"/>
  <c r="Q81" i="27"/>
  <c r="E82" i="27"/>
  <c r="H82" i="27" s="1"/>
  <c r="I82" i="27" l="1"/>
  <c r="K82" i="27" s="1"/>
  <c r="T82" i="27"/>
  <c r="Q82" i="27"/>
  <c r="E83" i="27"/>
  <c r="H83" i="27" s="1"/>
  <c r="I83" i="27" l="1"/>
  <c r="K83" i="27" s="1"/>
  <c r="T83" i="27"/>
  <c r="Q83" i="27"/>
  <c r="E84" i="27"/>
  <c r="H84" i="27" s="1"/>
  <c r="I84" i="27" l="1"/>
  <c r="K84" i="27" s="1"/>
  <c r="T84" i="27"/>
  <c r="Q84" i="27"/>
  <c r="E85" i="27"/>
  <c r="H85" i="27" s="1"/>
  <c r="I85" i="27" l="1"/>
  <c r="K85" i="27" s="1"/>
  <c r="T85" i="27"/>
  <c r="Q85" i="27"/>
  <c r="E86" i="27"/>
  <c r="H86" i="27" s="1"/>
  <c r="I86" i="27" l="1"/>
  <c r="K86" i="27" s="1"/>
  <c r="T86" i="27"/>
  <c r="Q86" i="27"/>
  <c r="E87" i="27"/>
  <c r="H87" i="27" s="1"/>
  <c r="I87" i="27" l="1"/>
  <c r="K89" i="27" s="1" a="1"/>
  <c r="K89" i="27" s="1"/>
  <c r="T87" i="27"/>
  <c r="T88" i="27" s="1"/>
  <c r="T90" i="27" s="1"/>
  <c r="S90" i="27" s="1"/>
  <c r="Q87" i="27"/>
  <c r="Q88" i="27" s="1"/>
  <c r="Q90" i="27" s="1"/>
  <c r="P90" i="27" s="1"/>
  <c r="H88" i="27"/>
  <c r="H90" i="27" s="1"/>
  <c r="G90" i="27" s="1"/>
  <c r="W88" i="27"/>
  <c r="W90" i="27" s="1"/>
  <c r="V90" i="27" s="1"/>
  <c r="N88" i="27"/>
  <c r="N90" i="27" s="1"/>
  <c r="M90" i="27" s="1"/>
  <c r="I88" i="27" l="1"/>
  <c r="K87" i="27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<sst xmlns="http://schemas.openxmlformats.org/spreadsheetml/2006/main" count="2028" uniqueCount="979">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</sst>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tabSelected="1"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43326.651220254629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0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zoomScale="80" zoomScaleNormal="80" workbookViewId="0">
      <pane xSplit="12" topLeftCell="M1" activePane="topRight" state="frozen"/>
      <selection pane="topRight" activeCell="B17" sqref="B1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5" t="str">
        <f>IF(Settings!D4&lt;&gt;0,Settings!D4,"")</f>
        <v/>
      </c>
      <c r="C2" s="695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696" t="str">
        <f>IF(Settings!D5&lt;&gt;0,Settings!D5,"")</f>
        <v/>
      </c>
      <c r="C3" s="696"/>
      <c r="D3" s="400"/>
      <c r="E3" s="401">
        <f ca="1">Settings!\date</f>
        <v>43326.651220254629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1" t="s">
        <v>2</v>
      </c>
      <c r="AM11" s="705" t="s">
        <v>379</v>
      </c>
      <c r="AN11" s="703" t="s">
        <v>380</v>
      </c>
      <c r="AO11" s="697" t="s">
        <v>1</v>
      </c>
      <c r="AP11" s="697" t="s">
        <v>240</v>
      </c>
      <c r="AQ11" s="697" t="s">
        <v>241</v>
      </c>
      <c r="AR11" s="697" t="s">
        <v>245</v>
      </c>
      <c r="AS11" s="697" t="s">
        <v>243</v>
      </c>
      <c r="AT11" s="697" t="s">
        <v>244</v>
      </c>
      <c r="AU11" s="697" t="s">
        <v>247</v>
      </c>
      <c r="AV11" s="697" t="s">
        <v>246</v>
      </c>
      <c r="AW11" s="697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2"/>
      <c r="AM12" s="706"/>
      <c r="AN12" s="704"/>
      <c r="AO12" s="698"/>
      <c r="AP12" s="698"/>
      <c r="AQ12" s="698"/>
      <c r="AR12" s="698"/>
      <c r="AS12" s="698"/>
      <c r="AT12" s="698"/>
      <c r="AU12" s="698"/>
      <c r="AV12" s="698"/>
      <c r="AW12" s="698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 t="e">
        <f ca="1">SUM(AL15:AL19)</f>
        <v>#NAME?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 t="e">
        <f ca="1">AW16/\VACAhrs</f>
        <v>#NAME?</v>
      </c>
      <c r="AL16" s="539" t="e">
        <f ca="1">SUM(AS16:AV16)</f>
        <v>#NAME?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 t="e">
        <f ca="1">((D16+E16)/52*(1+\conLIT))*calcRaise(I16,J16,\conRaise)</f>
        <v>#NAME?</v>
      </c>
      <c r="AW16" s="546" t="e">
        <f ca="1">(((SUM(AP16:AR16)*(AO16&gt;0))+(((D16+E16)/52)*(1+\conLIT)*calcRaise(I16,J16,\conRaise,FALSE)))/(IF(AO16&gt;0,AO16,1)))*52</f>
        <v>#NAME?</v>
      </c>
      <c r="AX16" s="547"/>
      <c r="AY16" s="548" t="e">
        <f ca="1">SUM(AS16:AV16)</f>
        <v>#NAME?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 t="e">
        <f ca="1">AW17/\VACAhrs</f>
        <v>#NAME?</v>
      </c>
      <c r="AL17" s="539" t="e">
        <f ca="1">SUM(AS17:AV17)</f>
        <v>#NAME?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 t="e">
        <f ca="1">((D17+E17)/52*(1+\conLIT))*calcRaise(I17,J17,\conRaise)</f>
        <v>#NAME?</v>
      </c>
      <c r="AW17" s="546" t="e">
        <f ca="1">(((SUM(AP17:AR17)*(AO17&gt;0))+(((D17+E17)/52)*(1+\conLIT)*calcRaise(I17,J17,\conRaise,FALSE)))/(IF(AO17&gt;0,AO17,1)))*52</f>
        <v>#NAME?</v>
      </c>
      <c r="AX17" s="547"/>
      <c r="AY17" s="548" t="e">
        <f ca="1">SUM(AS17:AV17)</f>
        <v>#NAME?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0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0</v>
      </c>
      <c r="AW18" s="534">
        <f ca="1">SUMIF(AW15:OFFSET(AW18,-1,0),"&gt;0")</f>
        <v>0</v>
      </c>
      <c r="AX18" s="536"/>
      <c r="AY18" s="537">
        <f ca="1">SUMIF(AY15:OFFSET(AY18,-1,0),"&gt;0")</f>
        <v>0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 t="e">
        <f ca="1">AW28/\VACAhrs</f>
        <v>#NAME?</v>
      </c>
      <c r="AL28" s="539" t="e">
        <f ca="1">SUM(AS28:AV28)</f>
        <v>#NAME?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 t="e">
        <f ca="1">((D28+E28)/52*(1+\conLIT))*calcRaise(I28,J28,\preRaise)</f>
        <v>#NAME?</v>
      </c>
      <c r="AW28" s="546" t="e">
        <f ca="1">(((SUM(AP28:AR28)*(AO28&gt;0))+(((D28+E28)/52)*(1+\conLIT)*calcRaise(I28,J28,\preRaise,FALSE)))/(IF(AO28&gt;0,AO28,1)))*52</f>
        <v>#NAME?</v>
      </c>
      <c r="AX28" s="547"/>
      <c r="AY28" s="548" t="e">
        <f ca="1">SUM(AS28:AV28)</f>
        <v>#NAME?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 t="e">
        <f ca="1">AW30/\VACAhrs</f>
        <v>#NAME?</v>
      </c>
      <c r="AL30" s="539" t="e">
        <f ca="1">SUM(AS30:AV30)</f>
        <v>#NAME?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 t="e">
        <f ca="1">((D30+E30)/52*(1+\conLIT))*calcRaise(I30,J30,\conRaise)</f>
        <v>#NAME?</v>
      </c>
      <c r="AW30" s="546" t="e">
        <f ca="1">(((SUM(AP30:AR30)*(AO30&gt;0))+(((D30+E30)/52)*(1+\conLIT)*calcRaise(I30,J30,\conRaise,FALSE)))/(IF(AO30&gt;0,AO30,1)))*52</f>
        <v>#NAME?</v>
      </c>
      <c r="AX30" s="547"/>
      <c r="AY30" s="548" t="e">
        <f ca="1">SUM(AS30:AV30)</f>
        <v>#NAME?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 t="e">
        <f ca="1">AW32/\VACAhrs</f>
        <v>#NAME?</v>
      </c>
      <c r="AL32" s="539" t="e">
        <f ca="1">SUM(AS32:AV32)</f>
        <v>#NAME?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 t="e">
        <f ca="1">((D32+E32)/52*(1+\conLIT))*calcRaise(I32,J32,\conRaise)</f>
        <v>#NAME?</v>
      </c>
      <c r="AW32" s="546" t="e">
        <f ca="1">(((SUM(AP32:AR32)*(AO32&gt;0))+(((D32+E32)/52)*(1+\conLIT)*calcRaise(I32,J32,\conRaise,FALSE)))/(IF(AO32&gt;0,AO32,1)))*52</f>
        <v>#NAME?</v>
      </c>
      <c r="AX32" s="547"/>
      <c r="AY32" s="548" t="e">
        <f ca="1">SUM(AS32:AV32)</f>
        <v>#NAME?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 t="e">
        <f ca="1">AW34/\VACAhrs</f>
        <v>#NAME?</v>
      </c>
      <c r="AL34" s="539" t="e">
        <f ca="1">SUM(AS34:AV34)</f>
        <v>#NAME?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 t="e">
        <f ca="1">((D34+E34)/52*(1+\preLIT))*calcRaise(I34,J34,\preRaise)</f>
        <v>#NAME?</v>
      </c>
      <c r="AW34" s="546" t="e">
        <f ca="1">(((SUM(AP34:AR34)*(AO34&gt;0))+(((D34+E34)/52)*(1+\preLIT)*calcRaise(I34,J34,\preRaise,FALSE)))/(IF(AO34&gt;0,AO34,1)))*52</f>
        <v>#NAME?</v>
      </c>
      <c r="AX34" s="547"/>
      <c r="AY34" s="548" t="e">
        <f ca="1">SUM(AS34:AV34)</f>
        <v>#NAME?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AT11:AT12"/>
    <mergeCell ref="AS11:AS12"/>
    <mergeCell ref="AV11:AV12"/>
    <mergeCell ref="AW11:AW12"/>
    <mergeCell ref="AM11:AM12"/>
    <mergeCell ref="AU11:AU12"/>
    <mergeCell ref="AR11:AR12"/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J85" sqref="J85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(F13-1)*(IFERROR(INDEX('Rate Tables'!$B$5:$D$8,MATCH($E13,'Rate Tables'!$B$5:$B$8,-1),2),INDEX('Rate Tables'!$B$5:$D$8,1,2))*40+((40*G13)*IFERROR(INDEX('Rate Tables'!$B$5:$D$8,MATCH($E13,'Rate Tables'!$B$5:$B$8,-1),3),INDEX('Rate Tables'!$B$5:$D$8,1,3))))</f>
        <v>0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(F14-1)*(IFERROR(INDEX('Rate Tables'!$B$5:$D$8,MATCH($E14,'Rate Tables'!$B$5:$B$8,-1),2),INDEX('Rate Tables'!$B$5:$D$8,1,2))*40+((40*G14)*IFERROR(INDEX('Rate Tables'!$B$5:$D$8,MATCH($E14,'Rate Tables'!$B$5:$B$8,-1),3),INDEX('Rate Tables'!$B$5:$D$8,1,3))))</f>
        <v>0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(F15-1)*(IFERROR(INDEX('Rate Tables'!$B$5:$D$8,MATCH($E15,'Rate Tables'!$B$5:$B$8,-1),2),INDEX('Rate Tables'!$B$5:$D$8,1,2))*40+((40*G15)*IFERROR(INDEX('Rate Tables'!$B$5:$D$8,MATCH($E15,'Rate Tables'!$B$5:$B$8,-1),3),INDEX('Rate Tables'!$B$5:$D$8,1,3))))</f>
        <v>0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(F16-1)*(IFERROR(INDEX('Rate Tables'!$B$5:$D$8,MATCH($E16,'Rate Tables'!$B$5:$B$8,-1),2),INDEX('Rate Tables'!$B$5:$D$8,1,2))*40+((40*G16)*IFERROR(INDEX('Rate Tables'!$B$5:$D$8,MATCH($E16,'Rate Tables'!$B$5:$B$8,-1),3),INDEX('Rate Tables'!$B$5:$D$8,1,3))))</f>
        <v>0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(F17-1)*(IFERROR(INDEX('Rate Tables'!$B$5:$D$8,MATCH($E17,'Rate Tables'!$B$5:$B$8,-1),2),INDEX('Rate Tables'!$B$5:$D$8,1,2))*40+((40*G17)*IFERROR(INDEX('Rate Tables'!$B$5:$D$8,MATCH($E17,'Rate Tables'!$B$5:$B$8,-1),3),INDEX('Rate Tables'!$B$5:$D$8,1,3))))</f>
        <v>0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(F18-1)*(IFERROR(INDEX('Rate Tables'!$B$5:$D$8,MATCH($E18,'Rate Tables'!$B$5:$B$8,-1),2),INDEX('Rate Tables'!$B$5:$D$8,1,2))*40+((40*G18)*IFERROR(INDEX('Rate Tables'!$B$5:$D$8,MATCH($E18,'Rate Tables'!$B$5:$B$8,-1),3),INDEX('Rate Tables'!$B$5:$D$8,1,3))))</f>
        <v>0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(F19-1)*(IFERROR(INDEX('Rate Tables'!$B$5:$D$8,MATCH($E19,'Rate Tables'!$B$5:$B$8,-1),2),INDEX('Rate Tables'!$B$5:$D$8,1,2))*40+((40*G19)*IFERROR(INDEX('Rate Tables'!$B$5:$D$8,MATCH($E19,'Rate Tables'!$B$5:$B$8,-1),3),INDEX('Rate Tables'!$B$5:$D$8,1,3))))</f>
        <v>0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(F20-1)*(IFERROR(INDEX('Rate Tables'!$B$5:$D$8,MATCH($E20,'Rate Tables'!$B$5:$B$8,-1),2),INDEX('Rate Tables'!$B$5:$D$8,1,2))*40+((40*G20)*IFERROR(INDEX('Rate Tables'!$B$5:$D$8,MATCH($E20,'Rate Tables'!$B$5:$B$8,-1),3),INDEX('Rate Tables'!$B$5:$D$8,1,3))))</f>
        <v>0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(F21-1)*(IFERROR(INDEX('Rate Tables'!$B$5:$D$8,MATCH($E21,'Rate Tables'!$B$5:$B$8,-1),2),INDEX('Rate Tables'!$B$5:$D$8,1,2))*40+((40*G21)*IFERROR(INDEX('Rate Tables'!$B$5:$D$8,MATCH($E21,'Rate Tables'!$B$5:$B$8,-1),3),INDEX('Rate Tables'!$B$5:$D$8,1,3))))</f>
        <v>0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(F22-1)*(IFERROR(INDEX('Rate Tables'!$B$5:$D$8,MATCH($E22,'Rate Tables'!$B$5:$B$8,-1),2),INDEX('Rate Tables'!$B$5:$D$8,1,2))*40+((40*G22)*IFERROR(INDEX('Rate Tables'!$B$5:$D$8,MATCH($E22,'Rate Tables'!$B$5:$B$8,-1),3),INDEX('Rate Tables'!$B$5:$D$8,1,3))))</f>
        <v>0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(F23-1)*(IFERROR(INDEX('Rate Tables'!$B$5:$D$8,MATCH($E23,'Rate Tables'!$B$5:$B$8,-1),2),INDEX('Rate Tables'!$B$5:$D$8,1,2))*40+((40*G23)*IFERROR(INDEX('Rate Tables'!$B$5:$D$8,MATCH($E23,'Rate Tables'!$B$5:$B$8,-1),3),INDEX('Rate Tables'!$B$5:$D$8,1,3))))</f>
        <v>0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(F24-1)*(IFERROR(INDEX('Rate Tables'!$B$5:$D$8,MATCH($E24,'Rate Tables'!$B$5:$B$8,-1),2),INDEX('Rate Tables'!$B$5:$D$8,1,2))*40+((40*G24)*IFERROR(INDEX('Rate Tables'!$B$5:$D$8,MATCH($E24,'Rate Tables'!$B$5:$B$8,-1),3),INDEX('Rate Tables'!$B$5:$D$8,1,3))))</f>
        <v>0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(F25-1)*(IFERROR(INDEX('Rate Tables'!$B$5:$D$8,MATCH($E25,'Rate Tables'!$B$5:$B$8,-1),2),INDEX('Rate Tables'!$B$5:$D$8,1,2))*40+((40*G25)*IFERROR(INDEX('Rate Tables'!$B$5:$D$8,MATCH($E25,'Rate Tables'!$B$5:$B$8,-1),3),INDEX('Rate Tables'!$B$5:$D$8,1,3))))</f>
        <v>0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(F26-1)*(IFERROR(INDEX('Rate Tables'!$B$5:$D$8,MATCH($E26,'Rate Tables'!$B$5:$B$8,-1),2),INDEX('Rate Tables'!$B$5:$D$8,1,2))*40+((40*G26)*IFERROR(INDEX('Rate Tables'!$B$5:$D$8,MATCH($E26,'Rate Tables'!$B$5:$B$8,-1),3),INDEX('Rate Tables'!$B$5:$D$8,1,3))))</f>
        <v>0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(F27-1)*(IFERROR(INDEX('Rate Tables'!$B$5:$D$8,MATCH($E27,'Rate Tables'!$B$5:$B$8,-1),2),INDEX('Rate Tables'!$B$5:$D$8,1,2))*40+((40*G27)*IFERROR(INDEX('Rate Tables'!$B$5:$D$8,MATCH($E27,'Rate Tables'!$B$5:$B$8,-1),3),INDEX('Rate Tables'!$B$5:$D$8,1,3))))</f>
        <v>0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(F28-1)*(IFERROR(INDEX('Rate Tables'!$B$5:$D$8,MATCH($E28,'Rate Tables'!$B$5:$B$8,-1),2),INDEX('Rate Tables'!$B$5:$D$8,1,2))*40+((40*G28)*IFERROR(INDEX('Rate Tables'!$B$5:$D$8,MATCH($E28,'Rate Tables'!$B$5:$B$8,-1),3),INDEX('Rate Tables'!$B$5:$D$8,1,3))))</f>
        <v>0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(F29-1)*(IFERROR(INDEX('Rate Tables'!$B$5:$D$8,MATCH($E29,'Rate Tables'!$B$5:$B$8,-1),2),INDEX('Rate Tables'!$B$5:$D$8,1,2))*40+((40*G29)*IFERROR(INDEX('Rate Tables'!$B$5:$D$8,MATCH($E29,'Rate Tables'!$B$5:$B$8,-1),3),INDEX('Rate Tables'!$B$5:$D$8,1,3))))</f>
        <v>0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(F30-1)*(IFERROR(INDEX('Rate Tables'!$B$5:$D$8,MATCH($E30,'Rate Tables'!$B$5:$B$8,-1),2),INDEX('Rate Tables'!$B$5:$D$8,1,2))*40+((40*G30)*IFERROR(INDEX('Rate Tables'!$B$5:$D$8,MATCH($E30,'Rate Tables'!$B$5:$B$8,-1),3),INDEX('Rate Tables'!$B$5:$D$8,1,3))))</f>
        <v>0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(F31-1)*(IFERROR(INDEX('Rate Tables'!$B$5:$D$8,MATCH($E31,'Rate Tables'!$B$5:$B$8,-1),2),INDEX('Rate Tables'!$B$5:$D$8,1,2))*40+((40*G31)*IFERROR(INDEX('Rate Tables'!$B$5:$D$8,MATCH($E31,'Rate Tables'!$B$5:$B$8,-1),3),INDEX('Rate Tables'!$B$5:$D$8,1,3))))</f>
        <v>0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(F32-1)*(IFERROR(INDEX('Rate Tables'!$B$5:$D$8,MATCH($E32,'Rate Tables'!$B$5:$B$8,-1),2),INDEX('Rate Tables'!$B$5:$D$8,1,2))*40+((40*G32)*IFERROR(INDEX('Rate Tables'!$B$5:$D$8,MATCH($E32,'Rate Tables'!$B$5:$B$8,-1),3),INDEX('Rate Tables'!$B$5:$D$8,1,3))))</f>
        <v>0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(F33-1)*(IFERROR(INDEX('Rate Tables'!$B$5:$D$8,MATCH($E33,'Rate Tables'!$B$5:$B$8,-1),2),INDEX('Rate Tables'!$B$5:$D$8,1,2))*40+((40*G33)*IFERROR(INDEX('Rate Tables'!$B$5:$D$8,MATCH($E33,'Rate Tables'!$B$5:$B$8,-1),3),INDEX('Rate Tables'!$B$5:$D$8,1,3))))</f>
        <v>0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(F34-1)*(IFERROR(INDEX('Rate Tables'!$B$5:$D$8,MATCH($E34,'Rate Tables'!$B$5:$B$8,-1),2),INDEX('Rate Tables'!$B$5:$D$8,1,2))*40+((40*G34)*IFERROR(INDEX('Rate Tables'!$B$5:$D$8,MATCH($E34,'Rate Tables'!$B$5:$B$8,-1),3),INDEX('Rate Tables'!$B$5:$D$8,1,3))))</f>
        <v>0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(F35-1)*(IFERROR(INDEX('Rate Tables'!$B$5:$D$8,MATCH($E35,'Rate Tables'!$B$5:$B$8,-1),2),INDEX('Rate Tables'!$B$5:$D$8,1,2))*40+((40*G35)*IFERROR(INDEX('Rate Tables'!$B$5:$D$8,MATCH($E35,'Rate Tables'!$B$5:$B$8,-1),3),INDEX('Rate Tables'!$B$5:$D$8,1,3))))</f>
        <v>0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(F36-1)*(IFERROR(INDEX('Rate Tables'!$B$5:$D$8,MATCH($E36,'Rate Tables'!$B$5:$B$8,-1),2),INDEX('Rate Tables'!$B$5:$D$8,1,2))*40+((40*G36)*IFERROR(INDEX('Rate Tables'!$B$5:$D$8,MATCH($E36,'Rate Tables'!$B$5:$B$8,-1),3),INDEX('Rate Tables'!$B$5:$D$8,1,3))))</f>
        <v>0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(F37-1)*(IFERROR(INDEX('Rate Tables'!$B$5:$D$8,MATCH($E37,'Rate Tables'!$B$5:$B$8,-1),2),INDEX('Rate Tables'!$B$5:$D$8,1,2))*40+((40*G37)*IFERROR(INDEX('Rate Tables'!$B$5:$D$8,MATCH($E37,'Rate Tables'!$B$5:$B$8,-1),3),INDEX('Rate Tables'!$B$5:$D$8,1,3))))</f>
        <v>0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(F38-1)*(IFERROR(INDEX('Rate Tables'!$B$5:$D$8,MATCH($E38,'Rate Tables'!$B$5:$B$8,-1),2),INDEX('Rate Tables'!$B$5:$D$8,1,2))*40+((40*G38)*IFERROR(INDEX('Rate Tables'!$B$5:$D$8,MATCH($E38,'Rate Tables'!$B$5:$B$8,-1),3),INDEX('Rate Tables'!$B$5:$D$8,1,3))))</f>
        <v>0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(F39-1)*(IFERROR(INDEX('Rate Tables'!$B$5:$D$8,MATCH($E39,'Rate Tables'!$B$5:$B$8,-1),2),INDEX('Rate Tables'!$B$5:$D$8,1,2))*40+((40*G39)*IFERROR(INDEX('Rate Tables'!$B$5:$D$8,MATCH($E39,'Rate Tables'!$B$5:$B$8,-1),3),INDEX('Rate Tables'!$B$5:$D$8,1,3))))</f>
        <v>0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(F40-1)*(IFERROR(INDEX('Rate Tables'!$B$5:$D$8,MATCH($E40,'Rate Tables'!$B$5:$B$8,-1),2),INDEX('Rate Tables'!$B$5:$D$8,1,2))*40+((40*G40)*IFERROR(INDEX('Rate Tables'!$B$5:$D$8,MATCH($E40,'Rate Tables'!$B$5:$B$8,-1),3),INDEX('Rate Tables'!$B$5:$D$8,1,3))))</f>
        <v>0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(F41-1)*(IFERROR(INDEX('Rate Tables'!$B$5:$D$8,MATCH($E41,'Rate Tables'!$B$5:$B$8,-1),2),INDEX('Rate Tables'!$B$5:$D$8,1,2))*40+((40*G41)*IFERROR(INDEX('Rate Tables'!$B$5:$D$8,MATCH($E41,'Rate Tables'!$B$5:$B$8,-1),3),INDEX('Rate Tables'!$B$5:$D$8,1,3))))</f>
        <v>0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(F42-1)*(IFERROR(INDEX('Rate Tables'!$B$5:$D$8,MATCH($E42,'Rate Tables'!$B$5:$B$8,-1),2),INDEX('Rate Tables'!$B$5:$D$8,1,2))*40+((40*G42)*IFERROR(INDEX('Rate Tables'!$B$5:$D$8,MATCH($E42,'Rate Tables'!$B$5:$B$8,-1),3),INDEX('Rate Tables'!$B$5:$D$8,1,3))))</f>
        <v>0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(F43-1)*(IFERROR(INDEX('Rate Tables'!$B$5:$D$8,MATCH($E43,'Rate Tables'!$B$5:$B$8,-1),2),INDEX('Rate Tables'!$B$5:$D$8,1,2))*40+((40*G43)*IFERROR(INDEX('Rate Tables'!$B$5:$D$8,MATCH($E43,'Rate Tables'!$B$5:$B$8,-1),3),INDEX('Rate Tables'!$B$5:$D$8,1,3))))</f>
        <v>0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(F44-1)*(IFERROR(INDEX('Rate Tables'!$B$5:$D$8,MATCH($E44,'Rate Tables'!$B$5:$B$8,-1),2),INDEX('Rate Tables'!$B$5:$D$8,1,2))*40+((40*G44)*IFERROR(INDEX('Rate Tables'!$B$5:$D$8,MATCH($E44,'Rate Tables'!$B$5:$B$8,-1),3),INDEX('Rate Tables'!$B$5:$D$8,1,3))))</f>
        <v>0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(F45-1)*(IFERROR(INDEX('Rate Tables'!$B$5:$D$8,MATCH($E45,'Rate Tables'!$B$5:$B$8,-1),2),INDEX('Rate Tables'!$B$5:$D$8,1,2))*40+((40*G45)*IFERROR(INDEX('Rate Tables'!$B$5:$D$8,MATCH($E45,'Rate Tables'!$B$5:$B$8,-1),3),INDEX('Rate Tables'!$B$5:$D$8,1,3))))</f>
        <v>0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(F46-1)*(IFERROR(INDEX('Rate Tables'!$B$5:$D$8,MATCH($E46,'Rate Tables'!$B$5:$B$8,-1),2),INDEX('Rate Tables'!$B$5:$D$8,1,2))*40+((40*G46)*IFERROR(INDEX('Rate Tables'!$B$5:$D$8,MATCH($E46,'Rate Tables'!$B$5:$B$8,-1),3),INDEX('Rate Tables'!$B$5:$D$8,1,3))))</f>
        <v>0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(F47-1)*(IFERROR(INDEX('Rate Tables'!$B$5:$D$8,MATCH($E47,'Rate Tables'!$B$5:$B$8,-1),2),INDEX('Rate Tables'!$B$5:$D$8,1,2))*40+((40*G47)*IFERROR(INDEX('Rate Tables'!$B$5:$D$8,MATCH($E47,'Rate Tables'!$B$5:$B$8,-1),3),INDEX('Rate Tables'!$B$5:$D$8,1,3))))</f>
        <v>0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(F48-1)*(IFERROR(INDEX('Rate Tables'!$B$5:$D$8,MATCH($E48,'Rate Tables'!$B$5:$B$8,-1),2),INDEX('Rate Tables'!$B$5:$D$8,1,2))*40+((40*G48)*IFERROR(INDEX('Rate Tables'!$B$5:$D$8,MATCH($E48,'Rate Tables'!$B$5:$B$8,-1),3),INDEX('Rate Tables'!$B$5:$D$8,1,3))))</f>
        <v>0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(F49-1)*(IFERROR(INDEX('Rate Tables'!$B$5:$D$8,MATCH($E49,'Rate Tables'!$B$5:$B$8,-1),2),INDEX('Rate Tables'!$B$5:$D$8,1,2))*40+((40*G49)*IFERROR(INDEX('Rate Tables'!$B$5:$D$8,MATCH($E49,'Rate Tables'!$B$5:$B$8,-1),3),INDEX('Rate Tables'!$B$5:$D$8,1,3))))</f>
        <v>0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(F50-1)*(IFERROR(INDEX('Rate Tables'!$B$5:$D$8,MATCH($E50,'Rate Tables'!$B$5:$B$8,-1),2),INDEX('Rate Tables'!$B$5:$D$8,1,2))*40+((40*G50)*IFERROR(INDEX('Rate Tables'!$B$5:$D$8,MATCH($E50,'Rate Tables'!$B$5:$B$8,-1),3),INDEX('Rate Tables'!$B$5:$D$8,1,3))))</f>
        <v>0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(F51-1)*(IFERROR(INDEX('Rate Tables'!$B$5:$D$8,MATCH($E51,'Rate Tables'!$B$5:$B$8,-1),2),INDEX('Rate Tables'!$B$5:$D$8,1,2))*40+((40*G51)*IFERROR(INDEX('Rate Tables'!$B$5:$D$8,MATCH($E51,'Rate Tables'!$B$5:$B$8,-1),3),INDEX('Rate Tables'!$B$5:$D$8,1,3))))</f>
        <v>0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(F52-1)*(IFERROR(INDEX('Rate Tables'!$B$5:$D$8,MATCH($E52,'Rate Tables'!$B$5:$B$8,-1),2),INDEX('Rate Tables'!$B$5:$D$8,1,2))*40+((40*G52)*IFERROR(INDEX('Rate Tables'!$B$5:$D$8,MATCH($E52,'Rate Tables'!$B$5:$B$8,-1),3),INDEX('Rate Tables'!$B$5:$D$8,1,3))))</f>
        <v>0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(F53-1)*(IFERROR(INDEX('Rate Tables'!$B$5:$D$8,MATCH($E53,'Rate Tables'!$B$5:$B$8,-1),2),INDEX('Rate Tables'!$B$5:$D$8,1,2))*40+((40*G53)*IFERROR(INDEX('Rate Tables'!$B$5:$D$8,MATCH($E53,'Rate Tables'!$B$5:$B$8,-1),3),INDEX('Rate Tables'!$B$5:$D$8,1,3))))</f>
        <v>0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(F54-1)*(IFERROR(INDEX('Rate Tables'!$B$5:$D$8,MATCH($E54,'Rate Tables'!$B$5:$B$8,-1),2),INDEX('Rate Tables'!$B$5:$D$8,1,2))*40+((40*G54)*IFERROR(INDEX('Rate Tables'!$B$5:$D$8,MATCH($E54,'Rate Tables'!$B$5:$B$8,-1),3),INDEX('Rate Tables'!$B$5:$D$8,1,3))))</f>
        <v>0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(F55-1)*(IFERROR(INDEX('Rate Tables'!$B$5:$D$8,MATCH($E55,'Rate Tables'!$B$5:$B$8,-1),2),INDEX('Rate Tables'!$B$5:$D$8,1,2))*40+((40*G55)*IFERROR(INDEX('Rate Tables'!$B$5:$D$8,MATCH($E55,'Rate Tables'!$B$5:$B$8,-1),3),INDEX('Rate Tables'!$B$5:$D$8,1,3))))</f>
        <v>0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(F56-1)*(IFERROR(INDEX('Rate Tables'!$B$5:$D$8,MATCH($E56,'Rate Tables'!$B$5:$B$8,-1),2),INDEX('Rate Tables'!$B$5:$D$8,1,2))*40+((40*G56)*IFERROR(INDEX('Rate Tables'!$B$5:$D$8,MATCH($E56,'Rate Tables'!$B$5:$B$8,-1),3),INDEX('Rate Tables'!$B$5:$D$8,1,3))))</f>
        <v>0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(F57-1)*(IFERROR(INDEX('Rate Tables'!$B$5:$D$8,MATCH($E57,'Rate Tables'!$B$5:$B$8,-1),2),INDEX('Rate Tables'!$B$5:$D$8,1,2))*40+((40*G57)*IFERROR(INDEX('Rate Tables'!$B$5:$D$8,MATCH($E57,'Rate Tables'!$B$5:$B$8,-1),3),INDEX('Rate Tables'!$B$5:$D$8,1,3))))</f>
        <v>0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(F58-1)*(IFERROR(INDEX('Rate Tables'!$B$5:$D$8,MATCH($E58,'Rate Tables'!$B$5:$B$8,-1),2),INDEX('Rate Tables'!$B$5:$D$8,1,2))*40+((40*G58)*IFERROR(INDEX('Rate Tables'!$B$5:$D$8,MATCH($E58,'Rate Tables'!$B$5:$B$8,-1),3),INDEX('Rate Tables'!$B$5:$D$8,1,3))))</f>
        <v>0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(F59-1)*(IFERROR(INDEX('Rate Tables'!$B$5:$D$8,MATCH($E59,'Rate Tables'!$B$5:$B$8,-1),2),INDEX('Rate Tables'!$B$5:$D$8,1,2))*40+((40*G59)*IFERROR(INDEX('Rate Tables'!$B$5:$D$8,MATCH($E59,'Rate Tables'!$B$5:$B$8,-1),3),INDEX('Rate Tables'!$B$5:$D$8,1,3))))</f>
        <v>0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(F60-1)*(IFERROR(INDEX('Rate Tables'!$B$5:$D$8,MATCH($E60,'Rate Tables'!$B$5:$B$8,-1),2),INDEX('Rate Tables'!$B$5:$D$8,1,2))*40+((40*G60)*IFERROR(INDEX('Rate Tables'!$B$5:$D$8,MATCH($E60,'Rate Tables'!$B$5:$B$8,-1),3),INDEX('Rate Tables'!$B$5:$D$8,1,3))))</f>
        <v>0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(F61-1)*(IFERROR(INDEX('Rate Tables'!$B$5:$D$8,MATCH($E61,'Rate Tables'!$B$5:$B$8,-1),2),INDEX('Rate Tables'!$B$5:$D$8,1,2))*40+((40*G61)*IFERROR(INDEX('Rate Tables'!$B$5:$D$8,MATCH($E61,'Rate Tables'!$B$5:$B$8,-1),3),INDEX('Rate Tables'!$B$5:$D$8,1,3))))</f>
        <v>0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(F62-1)*(IFERROR(INDEX('Rate Tables'!$B$5:$D$8,MATCH($E62,'Rate Tables'!$B$5:$B$8,-1),2),INDEX('Rate Tables'!$B$5:$D$8,1,2))*40+((40*G62)*IFERROR(INDEX('Rate Tables'!$B$5:$D$8,MATCH($E62,'Rate Tables'!$B$5:$B$8,-1),3),INDEX('Rate Tables'!$B$5:$D$8,1,3))))</f>
        <v>0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(F63-1)*(IFERROR(INDEX('Rate Tables'!$B$5:$D$8,MATCH($E63,'Rate Tables'!$B$5:$B$8,-1),2),INDEX('Rate Tables'!$B$5:$D$8,1,2))*40+((40*G63)*IFERROR(INDEX('Rate Tables'!$B$5:$D$8,MATCH($E63,'Rate Tables'!$B$5:$B$8,-1),3),INDEX('Rate Tables'!$B$5:$D$8,1,3))))</f>
        <v>0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(F64-1)*(IFERROR(INDEX('Rate Tables'!$B$5:$D$8,MATCH($E64,'Rate Tables'!$B$5:$B$8,-1),2),INDEX('Rate Tables'!$B$5:$D$8,1,2))*40+((40*G64)*IFERROR(INDEX('Rate Tables'!$B$5:$D$8,MATCH($E64,'Rate Tables'!$B$5:$B$8,-1),3),INDEX('Rate Tables'!$B$5:$D$8,1,3))))</f>
        <v>0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(F65-1)*(IFERROR(INDEX('Rate Tables'!$B$5:$D$8,MATCH($E65,'Rate Tables'!$B$5:$B$8,-1),2),INDEX('Rate Tables'!$B$5:$D$8,1,2))*40+((40*G65)*IFERROR(INDEX('Rate Tables'!$B$5:$D$8,MATCH($E65,'Rate Tables'!$B$5:$B$8,-1),3),INDEX('Rate Tables'!$B$5:$D$8,1,3))))</f>
        <v>0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(F66-1)*(IFERROR(INDEX('Rate Tables'!$B$5:$D$8,MATCH($E66,'Rate Tables'!$B$5:$B$8,-1),2),INDEX('Rate Tables'!$B$5:$D$8,1,2))*40+((40*G66)*IFERROR(INDEX('Rate Tables'!$B$5:$D$8,MATCH($E66,'Rate Tables'!$B$5:$B$8,-1),3),INDEX('Rate Tables'!$B$5:$D$8,1,3))))</f>
        <v>0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(F67-1)*(IFERROR(INDEX('Rate Tables'!$B$5:$D$8,MATCH($E67,'Rate Tables'!$B$5:$B$8,-1),2),INDEX('Rate Tables'!$B$5:$D$8,1,2))*40+((40*G67)*IFERROR(INDEX('Rate Tables'!$B$5:$D$8,MATCH($E67,'Rate Tables'!$B$5:$B$8,-1),3),INDEX('Rate Tables'!$B$5:$D$8,1,3))))</f>
        <v>0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(F68-1)*(IFERROR(INDEX('Rate Tables'!$B$5:$D$8,MATCH($E68,'Rate Tables'!$B$5:$B$8,-1),2),INDEX('Rate Tables'!$B$5:$D$8,1,2))*40+((40*G68)*IFERROR(INDEX('Rate Tables'!$B$5:$D$8,MATCH($E68,'Rate Tables'!$B$5:$B$8,-1),3),INDEX('Rate Tables'!$B$5:$D$8,1,3))))</f>
        <v>0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(F69-1)*(IFERROR(INDEX('Rate Tables'!$B$5:$D$8,MATCH($E69,'Rate Tables'!$B$5:$B$8,-1),2),INDEX('Rate Tables'!$B$5:$D$8,1,2))*40+((40*G69)*IFERROR(INDEX('Rate Tables'!$B$5:$D$8,MATCH($E69,'Rate Tables'!$B$5:$B$8,-1),3),INDEX('Rate Tables'!$B$5:$D$8,1,3))))</f>
        <v>0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(F70-1)*(IFERROR(INDEX('Rate Tables'!$B$5:$D$8,MATCH($E70,'Rate Tables'!$B$5:$B$8,-1),2),INDEX('Rate Tables'!$B$5:$D$8,1,2))*40+((40*G70)*IFERROR(INDEX('Rate Tables'!$B$5:$D$8,MATCH($E70,'Rate Tables'!$B$5:$B$8,-1),3),INDEX('Rate Tables'!$B$5:$D$8,1,3))))</f>
        <v>0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(F71-1)*(IFERROR(INDEX('Rate Tables'!$B$5:$D$8,MATCH($E71,'Rate Tables'!$B$5:$B$8,-1),2),INDEX('Rate Tables'!$B$5:$D$8,1,2))*40+((40*G71)*IFERROR(INDEX('Rate Tables'!$B$5:$D$8,MATCH($E71,'Rate Tables'!$B$5:$B$8,-1),3),INDEX('Rate Tables'!$B$5:$D$8,1,3))))</f>
        <v>0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(F72-1)*(IFERROR(INDEX('Rate Tables'!$B$5:$D$8,MATCH($E72,'Rate Tables'!$B$5:$B$8,-1),2),INDEX('Rate Tables'!$B$5:$D$8,1,2))*40+((40*G72)*IFERROR(INDEX('Rate Tables'!$B$5:$D$8,MATCH($E72,'Rate Tables'!$B$5:$B$8,-1),3),INDEX('Rate Tables'!$B$5:$D$8,1,3))))</f>
        <v>0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(F73-1)*(IFERROR(INDEX('Rate Tables'!$B$5:$D$8,MATCH($E73,'Rate Tables'!$B$5:$B$8,-1),2),INDEX('Rate Tables'!$B$5:$D$8,1,2))*40+((40*G73)*IFERROR(INDEX('Rate Tables'!$B$5:$D$8,MATCH($E73,'Rate Tables'!$B$5:$B$8,-1),3),INDEX('Rate Tables'!$B$5:$D$8,1,3))))</f>
        <v>0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(F74-1)*(IFERROR(INDEX('Rate Tables'!$B$5:$D$8,MATCH($E74,'Rate Tables'!$B$5:$B$8,-1),2),INDEX('Rate Tables'!$B$5:$D$8,1,2))*40+((40*G74)*IFERROR(INDEX('Rate Tables'!$B$5:$D$8,MATCH($E74,'Rate Tables'!$B$5:$B$8,-1),3),INDEX('Rate Tables'!$B$5:$D$8,1,3))))</f>
        <v>0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(F75-1)*(IFERROR(INDEX('Rate Tables'!$B$5:$D$8,MATCH($E75,'Rate Tables'!$B$5:$B$8,-1),2),INDEX('Rate Tables'!$B$5:$D$8,1,2))*40+((40*G75)*IFERROR(INDEX('Rate Tables'!$B$5:$D$8,MATCH($E75,'Rate Tables'!$B$5:$B$8,-1),3),INDEX('Rate Tables'!$B$5:$D$8,1,3))))</f>
        <v>0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(F76-1)*(IFERROR(INDEX('Rate Tables'!$B$5:$D$8,MATCH($E76,'Rate Tables'!$B$5:$B$8,-1),2),INDEX('Rate Tables'!$B$5:$D$8,1,2))*40+((40*G76)*IFERROR(INDEX('Rate Tables'!$B$5:$D$8,MATCH($E76,'Rate Tables'!$B$5:$B$8,-1),3),INDEX('Rate Tables'!$B$5:$D$8,1,3))))</f>
        <v>0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(F77-1)*(IFERROR(INDEX('Rate Tables'!$B$5:$D$8,MATCH($E77,'Rate Tables'!$B$5:$B$8,-1),2),INDEX('Rate Tables'!$B$5:$D$8,1,2))*40+((40*G77)*IFERROR(INDEX('Rate Tables'!$B$5:$D$8,MATCH($E77,'Rate Tables'!$B$5:$B$8,-1),3),INDEX('Rate Tables'!$B$5:$D$8,1,3))))</f>
        <v>0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(F78-1)*(IFERROR(INDEX('Rate Tables'!$B$5:$D$8,MATCH($E78,'Rate Tables'!$B$5:$B$8,-1),2),INDEX('Rate Tables'!$B$5:$D$8,1,2))*40+((40*G78)*IFERROR(INDEX('Rate Tables'!$B$5:$D$8,MATCH($E78,'Rate Tables'!$B$5:$B$8,-1),3),INDEX('Rate Tables'!$B$5:$D$8,1,3))))</f>
        <v>0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(F79-1)*(IFERROR(INDEX('Rate Tables'!$B$5:$D$8,MATCH($E79,'Rate Tables'!$B$5:$B$8,-1),2),INDEX('Rate Tables'!$B$5:$D$8,1,2))*40+((40*G79)*IFERROR(INDEX('Rate Tables'!$B$5:$D$8,MATCH($E79,'Rate Tables'!$B$5:$B$8,-1),3),INDEX('Rate Tables'!$B$5:$D$8,1,3))))</f>
        <v>0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(F80-1)*(IFERROR(INDEX('Rate Tables'!$B$5:$D$8,MATCH($E80,'Rate Tables'!$B$5:$B$8,-1),2),INDEX('Rate Tables'!$B$5:$D$8,1,2))*40+((40*G80)*IFERROR(INDEX('Rate Tables'!$B$5:$D$8,MATCH($E80,'Rate Tables'!$B$5:$B$8,-1),3),INDEX('Rate Tables'!$B$5:$D$8,1,3))))</f>
        <v>0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(F81-1)*(IFERROR(INDEX('Rate Tables'!$B$5:$D$8,MATCH($E81,'Rate Tables'!$B$5:$B$8,-1),2),INDEX('Rate Tables'!$B$5:$D$8,1,2))*40+((40*G81)*IFERROR(INDEX('Rate Tables'!$B$5:$D$8,MATCH($E81,'Rate Tables'!$B$5:$B$8,-1),3),INDEX('Rate Tables'!$B$5:$D$8,1,3))))</f>
        <v>0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(F82-1)*(IFERROR(INDEX('Rate Tables'!$B$5:$D$8,MATCH($E82,'Rate Tables'!$B$5:$B$8,-1),2),INDEX('Rate Tables'!$B$5:$D$8,1,2))*40+((40*G82)*IFERROR(INDEX('Rate Tables'!$B$5:$D$8,MATCH($E82,'Rate Tables'!$B$5:$B$8,-1),3),INDEX('Rate Tables'!$B$5:$D$8,1,3))))</f>
        <v>0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(F83-1)*(IFERROR(INDEX('Rate Tables'!$B$5:$D$8,MATCH($E83,'Rate Tables'!$B$5:$B$8,-1),2),INDEX('Rate Tables'!$B$5:$D$8,1,2))*40+((40*G83)*IFERROR(INDEX('Rate Tables'!$B$5:$D$8,MATCH($E83,'Rate Tables'!$B$5:$B$8,-1),3),INDEX('Rate Tables'!$B$5:$D$8,1,3))))</f>
        <v>0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(F84-1)*(IFERROR(INDEX('Rate Tables'!$B$5:$D$8,MATCH($E84,'Rate Tables'!$B$5:$B$8,-1),2),INDEX('Rate Tables'!$B$5:$D$8,1,2))*40+((40*G84)*IFERROR(INDEX('Rate Tables'!$B$5:$D$8,MATCH($E84,'Rate Tables'!$B$5:$B$8,-1),3),INDEX('Rate Tables'!$B$5:$D$8,1,3))))</f>
        <v>0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(F85-1)*(IFERROR(INDEX('Rate Tables'!$B$5:$D$8,MATCH($E85,'Rate Tables'!$B$5:$B$8,-1),2),INDEX('Rate Tables'!$B$5:$D$8,1,2))*40+((40*G85)*IFERROR(INDEX('Rate Tables'!$B$5:$D$8,MATCH($E85,'Rate Tables'!$B$5:$B$8,-1),3),INDEX('Rate Tables'!$B$5:$D$8,1,3))))</f>
        <v>0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(F86-1)*(IFERROR(INDEX('Rate Tables'!$B$5:$D$8,MATCH($E86,'Rate Tables'!$B$5:$B$8,-1),2),INDEX('Rate Tables'!$B$5:$D$8,1,2))*40+((40*G86)*IFERROR(INDEX('Rate Tables'!$B$5:$D$8,MATCH($E86,'Rate Tables'!$B$5:$B$8,-1),3),INDEX('Rate Tables'!$B$5:$D$8,1,3))))</f>
        <v>0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(F87-1)*(IFERROR(INDEX('Rate Tables'!$B$5:$D$8,MATCH($E87,'Rate Tables'!$B$5:$B$8,-1),2),INDEX('Rate Tables'!$B$5:$D$8,1,2))*40+((40*G87)*IFERROR(INDEX('Rate Tables'!$B$5:$D$8,MATCH($E87,'Rate Tables'!$B$5:$B$8,-1),3),INDEX('Rate Tables'!$B$5:$D$8,1,3))))</f>
        <v>0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0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410584.68000000034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>SUMIF(O9:O97,"[",K9:K97)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4" t="s">
        <v>193</v>
      </c>
      <c r="F59" s="725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4" t="s">
        <v>407</v>
      </c>
      <c r="F60" s="725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4" t="s">
        <v>197</v>
      </c>
      <c r="F66" s="725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4" t="s">
        <v>426</v>
      </c>
      <c r="F67" s="725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4" t="s">
        <v>198</v>
      </c>
      <c r="F68" s="725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2" t="s">
        <v>199</v>
      </c>
      <c r="F69" s="723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6" t="s">
        <v>200</v>
      </c>
      <c r="F72" s="727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6" t="s">
        <v>203</v>
      </c>
      <c r="F78" s="727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4" t="s">
        <v>321</v>
      </c>
      <c r="F86" s="725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2" t="s">
        <v>322</v>
      </c>
      <c r="F87" s="723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4" t="s">
        <v>211</v>
      </c>
      <c r="F91" s="725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4" t="s">
        <v>453</v>
      </c>
      <c r="F92" s="725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4" t="s">
        <v>454</v>
      </c>
      <c r="F93" s="725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 ca="1">SUMIF(O9:O200,"[",K9:K200)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4" t="s">
        <v>35</v>
      </c>
      <c r="F37" s="725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4" t="s">
        <v>37</v>
      </c>
      <c r="F38" s="725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4" t="s">
        <v>429</v>
      </c>
      <c r="F53" s="725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2" t="s">
        <v>464</v>
      </c>
      <c r="F64" s="723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4" t="s">
        <v>70</v>
      </c>
      <c r="F87" s="725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2" t="s">
        <v>75</v>
      </c>
      <c r="F94" s="723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43326.651220254629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 t="e">
        <f ca="1">'Staff Detail'!AK16</f>
        <v>#NAME?</v>
      </c>
      <c r="J12" s="239">
        <f>'Staff Detail'!AM16</f>
        <v>7.5142857142857142</v>
      </c>
      <c r="K12" s="240" t="s">
        <v>36</v>
      </c>
      <c r="L12" s="241" t="e">
        <f t="shared" ref="L12" ca="1" si="1">J12*I12</f>
        <v>#NAME?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 t="e">
        <f ca="1">'Staff Detail'!AK17</f>
        <v>#NAME?</v>
      </c>
      <c r="J13" s="239">
        <f>'Staff Detail'!AM17</f>
        <v>37.571428571428569</v>
      </c>
      <c r="K13" s="240" t="s">
        <v>36</v>
      </c>
      <c r="L13" s="241" t="e">
        <f t="shared" ref="L13" ca="1" si="2">J13*I13</f>
        <v>#NAME?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 t="e">
        <f ca="1">SUM(L10:L14)</f>
        <v>#NAME?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43326.651220254629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3AB1-B2CC-4573-8F2E-770BAE0FFDD9}">
  <sheetPr codeName="Sheet14"/>
  <dimension ref="A1:C1"/>
  <sheetViews>
    <sheetView workbookViewId="0">
      <selection activeCell="E6" sqref="E6"/>
    </sheetView>
  </sheetViews>
  <sheetFormatPr defaultRowHeight="15" x14ac:dyDescent="0.25"/>
  <sheetData>
    <row r="1" spans="1:3" x14ac:dyDescent="0.25">
      <c r="A1">
        <v>1</v>
      </c>
      <c r="B1">
        <v>1</v>
      </c>
      <c r="C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333</vt:i4>
      </vt:variant>
    </vt:vector>
  </HeadingPairs>
  <TitlesOfParts>
    <vt:vector size="347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meta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2018-08-14T19:37:50Z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