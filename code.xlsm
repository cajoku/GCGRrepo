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joku\Documents\GitHub\GCGRrepo\"/>
    </mc:Choice>
  </mc:AlternateContent>
  <xr:revisionPtr revIDLastSave="0" documentId="13_ncr:1_{A5B47496-536D-40A7-BCC0-704762D4A2EC}" xr6:coauthVersionLast="34" xr6:coauthVersionMax="34" xr10:uidLastSave="{00000000-0000-0000-0000-000000000000}"/>
  <bookViews>
    <workbookView xWindow="0" yWindow="0" windowWidth="795" windowHeight="390" firstSheet="1" activeTab="1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meta" sheetId="29" r:id="rId12"/>
    <sheet name="Errors" sheetId="11" r:id="rId13"/>
    <sheet name="Code" sheetId="10" r:id="rId14"/>
    <sheet name="CostCodes" sheetId="25" r:id="rId15"/>
    <sheet name="splash" sheetId="22" state="hidden" r:id="rId16"/>
  </sheets>
  <externalReferences>
    <externalReference r:id="rId17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3">Code!$A$9</definedName>
    <definedName name="\auto" localSheetId="13">Code!$F$2</definedName>
    <definedName name="\auto" localSheetId="1">'Staff Detail'!$E$1</definedName>
    <definedName name="\body" localSheetId="8">'GCs Owner'!$D$26:$M$113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Detail'!$AC$1</definedName>
    <definedName name="\c_durSTART" localSheetId="1">'Staff Detail'!$Q$1</definedName>
    <definedName name="\c_editStart" localSheetId="2">LaborOLD!$Q$1</definedName>
    <definedName name="\c_editStart" localSheetId="4">'Non-Staff Labor'!$L$1</definedName>
    <definedName name="\c_endcol" localSheetId="3">'Labor Gantt'!$BI$7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Gantt'!$BK$1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Detail'!$M$1:$AC$1</definedName>
    <definedName name="\c_name" localSheetId="8">'GCs Owner'!$F$1</definedName>
    <definedName name="\c_negStart" localSheetId="1">'Staff Detail'!$M$1</definedName>
    <definedName name="\c_negTemp" localSheetId="1">'Staff Detail'!$AZ$1</definedName>
    <definedName name="\c_order" localSheetId="1">'Staff Detail'!$AG$1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Detail'!$BA$1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Detail'!$AG$1:$AR$1</definedName>
    <definedName name="\c_rateEnd" localSheetId="1">'Staff Detail'!$AR$1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Detail'!$Q$41:$Q$57</definedName>
    <definedName name="\colSTART" localSheetId="3">'Labor Gantt'!$I$7</definedName>
    <definedName name="\conlabor" localSheetId="4">'[1]Staff Detail'!$AK$38</definedName>
    <definedName name="\conlabor">'Staff Detail'!$AE$28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Owner'!$D$4:$M$115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2">Errors!$A$2</definedName>
    <definedName name="\firewatch" localSheetId="5">'Rate Tables'!$F$50:$Y$50</definedName>
    <definedName name="\foot" localSheetId="8">'GCs Owner'!$D$113:$M$115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Owner'!$L$114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3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Detail'!$H$30</definedName>
    <definedName name="\jobEnd" localSheetId="1">'Staff Detail'!$G$30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3">Code!$A$2</definedName>
    <definedName name="\negMax" localSheetId="1">'Staff Detail'!$AX$1</definedName>
    <definedName name="\negMin" localSheetId="1">'Staff Detail'!$AY$1</definedName>
    <definedName name="\ops" localSheetId="0">Settings!$D$9</definedName>
    <definedName name="\order" localSheetId="13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Detail'!$K$30</definedName>
    <definedName name="\police" localSheetId="5">'Rate Tables'!$F$32:$Y$32</definedName>
    <definedName name="\position" localSheetId="13">Code!$B$2</definedName>
    <definedName name="\pred" localSheetId="3">'Labor Gantt'!$F$7:$F$8</definedName>
    <definedName name="\prelabor" localSheetId="4">'[1]Staff Detail'!$AK$21</definedName>
    <definedName name="\prelabor">'Staff Detail'!$AE$17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Owner'!$A$122</definedName>
    <definedName name="\r_adminEND" localSheetId="7">'GRs Detail'!$A$202</definedName>
    <definedName name="\r_adminEND" localSheetId="9">'GRs Owner'!$A$202</definedName>
    <definedName name="\r_almostEnd" localSheetId="1">'Staff Detail'!$A$28</definedName>
    <definedName name="\r_bin" localSheetId="8">'GCs Owner'!$A$126:$A$136</definedName>
    <definedName name="\r_bin" localSheetId="9">'GRs Owner'!$A$206:$A$207</definedName>
    <definedName name="\r_blank" localSheetId="8">'GCs Owner'!$A$125</definedName>
    <definedName name="\r_blank" localSheetId="9">'GRs Owner'!$A$205</definedName>
    <definedName name="\r_carry" localSheetId="2">LaborOLD!$A$14</definedName>
    <definedName name="\r_carry" localSheetId="4">'Non-Staff Labor'!$A$67</definedName>
    <definedName name="\r_constr" localSheetId="1">'Staff Detail'!$A$18</definedName>
    <definedName name="\r_dates" localSheetId="3">'Labor Gantt'!$A$1</definedName>
    <definedName name="\r_defaultEnd" localSheetId="8">'GCs Owner'!$A$142</definedName>
    <definedName name="\r_defaultEnd" localSheetId="9">'GRs Owner'!$A$214</definedName>
    <definedName name="\r_defaultStart" localSheetId="8">'GCs Owner'!$A$141</definedName>
    <definedName name="\r_defaultStart" localSheetId="9">'GRs Owner'!$A$213</definedName>
    <definedName name="\r_dend" localSheetId="8">'GCs Owner'!$A$113</definedName>
    <definedName name="\r_dend" localSheetId="9">'GRs Owner'!$A$193</definedName>
    <definedName name="\r_dstart" localSheetId="8">'GCs Owner'!$A$26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Detail'!$A$29</definedName>
    <definedName name="\r_gbottom" localSheetId="3">'Labor Gantt'!$A$21</definedName>
    <definedName name="\r_header" localSheetId="2">LaborOLD!$A$12</definedName>
    <definedName name="\r_header" localSheetId="4">'Non-Staff Labor'!$B$12</definedName>
    <definedName name="\r_heading" localSheetId="8">'GCs Owner'!$A$124</definedName>
    <definedName name="\r_heading" localSheetId="9">'GRs Owner'!$A$204</definedName>
    <definedName name="\r_insertSched" localSheetId="7">'GRs Detail'!$A$197</definedName>
    <definedName name="\r_lineitem" localSheetId="8">'GCs Owner'!$A$123</definedName>
    <definedName name="\r_lineitem" localSheetId="9">'GRs Owner'!$A$203</definedName>
    <definedName name="\r_lineitem" localSheetId="3">'Labor Gantt'!$A$39</definedName>
    <definedName name="\r_phase" localSheetId="1">'Staff Detail'!$A$48</definedName>
    <definedName name="\r_phaseitem" localSheetId="8">'GCs Owner'!$A$139</definedName>
    <definedName name="\r_phaseitem" localSheetId="3">'Labor Gantt'!$A$40</definedName>
    <definedName name="\r_phasephase" localSheetId="3">'Labor Gantt'!$A$41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Labor'!$B$71</definedName>
    <definedName name="\r_settings" localSheetId="6">'GCs Detail'!$A$4:$A$7,'GCs Detail'!$A$97,'GCs Detail'!$A$98</definedName>
    <definedName name="\r_settings" localSheetId="8">'GCs Owner'!$A$116:$A$121,'GCs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Labor'!$A$65</definedName>
    <definedName name="\r_start" localSheetId="1">'Staff Detail'!$A$12</definedName>
    <definedName name="\r_tempCON" localSheetId="1">'Staff Detail'!$A$40</definedName>
    <definedName name="\r_tempEST" localSheetId="1">'Staff Detail'!$A$44</definedName>
    <definedName name="\r_tempPhase" localSheetId="1">'Staff Detail'!$A$42</definedName>
    <definedName name="\r_tempPRECON" localSheetId="1">'Staff Detail'!$A$38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Owner'!$A$118</definedName>
    <definedName name="\r_xfer" localSheetId="9">'GRs Owner'!$A$198</definedName>
    <definedName name="\rank" localSheetId="13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3">Code!$A$29</definedName>
    <definedName name="\safetyTABLE" localSheetId="13">Code!$B$68:$L$72</definedName>
    <definedName name="\salary" localSheetId="13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3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3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3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3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3">Code!$S$34:$AB$34</definedName>
    <definedName name="\xfer" localSheetId="8">'GCs Owner'!$D$118:$M$119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Detail'!$AD$13:$AO$13,'Staff Detail'!#REF!,'Staff Detail'!#REF!,'Staff Detail'!#REF!,'Staff Detail'!$B$13:$L$13,'Staff Detail'!#REF!</definedName>
    <definedName name="formHEADER" localSheetId="7">'Staff Detail'!$AD$13:$AO$13,'Staff Detail'!#REF!,'Staff Detail'!#REF!,'Staff Detail'!#REF!,'Staff Detail'!$B$13:$L$13,'Staff Detail'!#REF!</definedName>
    <definedName name="formHEADER" localSheetId="2">'Staff Detail'!$AF$13:$AR$13,'Staff Detail'!#REF!,'Staff Detail'!$Q$13:$Q$13,'Staff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Detail'!$AF$13:$AR$13,'Staff Detail'!$AF$18:$AR$18,'Staff Detail'!$Q$13:$Q$13,'Staff Detail'!$Q$18:$Q$18,'Staff Detail'!$B$13:$K$13,'Staff Detail'!$B$18:$K$18</definedName>
    <definedName name="_xlnm.Print_Titles" localSheetId="15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Detail'!$AR$12</definedName>
    <definedName name="staff" localSheetId="7">'Staff Detail'!$AR$12</definedName>
    <definedName name="staff" localSheetId="2">'Staff Detail'!$AV$12</definedName>
    <definedName name="staff" localSheetId="4">'[1]Staff Detail'!$BB$12</definedName>
    <definedName name="staff">'Staff Detail'!$AV$12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1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26" l="1"/>
  <c r="E19" i="26"/>
  <c r="E17" i="26"/>
  <c r="E16" i="26"/>
  <c r="E15" i="26"/>
  <c r="E13" i="26"/>
  <c r="E11" i="26"/>
  <c r="D20" i="26"/>
  <c r="D19" i="26"/>
  <c r="D17" i="26"/>
  <c r="D16" i="26"/>
  <c r="D15" i="26"/>
  <c r="D13" i="26"/>
  <c r="D11" i="26"/>
  <c r="K14" i="1" l="1"/>
  <c r="K19" i="1"/>
  <c r="K20" i="1"/>
  <c r="K7" i="3"/>
  <c r="K6" i="3"/>
  <c r="E7" i="1" l="1"/>
  <c r="A135" i="20"/>
  <c r="A134" i="20" l="1"/>
  <c r="H22" i="20"/>
  <c r="F22" i="20"/>
  <c r="E22" i="20"/>
  <c r="F19" i="26"/>
  <c r="B19" i="26"/>
  <c r="J26" i="1"/>
  <c r="I26" i="1"/>
  <c r="H23" i="20"/>
  <c r="F23" i="20"/>
  <c r="E23" i="20"/>
  <c r="F20" i="26"/>
  <c r="B20" i="26"/>
  <c r="J27" i="1"/>
  <c r="I27" i="1"/>
  <c r="J21" i="20"/>
  <c r="I21" i="20"/>
  <c r="H21" i="20"/>
  <c r="F21" i="20"/>
  <c r="E21" i="20"/>
  <c r="F18" i="26"/>
  <c r="E18" i="26"/>
  <c r="B18" i="26"/>
  <c r="AH26" i="1" l="1"/>
  <c r="AF26" i="1" s="1"/>
  <c r="J22" i="20" s="1"/>
  <c r="AH27" i="1"/>
  <c r="AF27" i="1" s="1"/>
  <c r="J23" i="20" s="1"/>
  <c r="L21" i="20"/>
  <c r="H18" i="20"/>
  <c r="F18" i="20"/>
  <c r="E18" i="20"/>
  <c r="F15" i="26"/>
  <c r="B15" i="26"/>
  <c r="J22" i="1"/>
  <c r="I22" i="1"/>
  <c r="H19" i="20"/>
  <c r="F19" i="20"/>
  <c r="E19" i="20"/>
  <c r="F16" i="26"/>
  <c r="B16" i="26"/>
  <c r="J23" i="1"/>
  <c r="I23" i="1"/>
  <c r="H20" i="20"/>
  <c r="F20" i="20"/>
  <c r="E20" i="20"/>
  <c r="F17" i="26"/>
  <c r="B17" i="26"/>
  <c r="J24" i="1"/>
  <c r="I24" i="1"/>
  <c r="J17" i="20"/>
  <c r="I17" i="20"/>
  <c r="H17" i="20"/>
  <c r="F17" i="20"/>
  <c r="E17" i="20"/>
  <c r="F14" i="26"/>
  <c r="E14" i="26"/>
  <c r="B14" i="26"/>
  <c r="H11" i="20"/>
  <c r="F11" i="20"/>
  <c r="E11" i="20"/>
  <c r="N15" i="1"/>
  <c r="O15" i="1"/>
  <c r="P15" i="1"/>
  <c r="H12" i="20"/>
  <c r="F12" i="20"/>
  <c r="E12" i="20"/>
  <c r="N16" i="1"/>
  <c r="O16" i="1"/>
  <c r="P16" i="1"/>
  <c r="H13" i="20"/>
  <c r="F13" i="20"/>
  <c r="E13" i="20"/>
  <c r="H15" i="20"/>
  <c r="F15" i="20"/>
  <c r="E15" i="20"/>
  <c r="F12" i="26"/>
  <c r="B12" i="26"/>
  <c r="H16" i="20"/>
  <c r="F16" i="20"/>
  <c r="E16" i="20"/>
  <c r="F13" i="26"/>
  <c r="B13" i="26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C8" i="1"/>
  <c r="J19" i="1" s="1"/>
  <c r="C6" i="1"/>
  <c r="J14" i="1" s="1"/>
  <c r="C5" i="1"/>
  <c r="I14" i="1" s="1"/>
  <c r="AH24" i="1" l="1"/>
  <c r="AF24" i="1" s="1"/>
  <c r="J20" i="20" s="1"/>
  <c r="AH22" i="1"/>
  <c r="AF22" i="1" s="1"/>
  <c r="J18" i="20" s="1"/>
  <c r="I16" i="1"/>
  <c r="P11" i="1"/>
  <c r="AH23" i="1"/>
  <c r="L17" i="20"/>
  <c r="I15" i="1"/>
  <c r="J15" i="1"/>
  <c r="J16" i="1"/>
  <c r="E14" i="27"/>
  <c r="N11" i="1"/>
  <c r="O11" i="1"/>
  <c r="C7" i="1"/>
  <c r="I19" i="1" s="1"/>
  <c r="H7" i="3"/>
  <c r="H6" i="3"/>
  <c r="E12" i="26" l="1"/>
  <c r="D12" i="26"/>
  <c r="AH16" i="1"/>
  <c r="AF16" i="1" s="1"/>
  <c r="J13" i="20" s="1"/>
  <c r="D14" i="26"/>
  <c r="D18" i="26"/>
  <c r="AH14" i="1"/>
  <c r="AF14" i="1" s="1"/>
  <c r="J11" i="20" s="1"/>
  <c r="AF23" i="1"/>
  <c r="J19" i="20" s="1"/>
  <c r="AH15" i="1"/>
  <c r="AF15" i="1" s="1"/>
  <c r="J12" i="20" s="1"/>
  <c r="AH19" i="1"/>
  <c r="E15" i="27"/>
  <c r="U11" i="1"/>
  <c r="V11" i="1"/>
  <c r="AB11" i="1"/>
  <c r="T11" i="1"/>
  <c r="AA11" i="1"/>
  <c r="S11" i="1"/>
  <c r="Z11" i="1"/>
  <c r="R11" i="1"/>
  <c r="Y11" i="1"/>
  <c r="X11" i="1"/>
  <c r="W11" i="1"/>
  <c r="E5" i="1"/>
  <c r="C2" i="28"/>
  <c r="AH20" i="1" l="1"/>
  <c r="AF20" i="1" s="1"/>
  <c r="J16" i="20" s="1"/>
  <c r="H15" i="1"/>
  <c r="G15" i="1"/>
  <c r="H16" i="1"/>
  <c r="G16" i="1"/>
  <c r="AF19" i="1"/>
  <c r="J15" i="20" s="1"/>
  <c r="E16" i="27"/>
  <c r="AM71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H20" i="1" l="1"/>
  <c r="E17" i="27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T13" i="27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Q15" i="27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Q14" i="27" l="1"/>
  <c r="Q16" i="27"/>
  <c r="W59" i="27"/>
  <c r="W51" i="27"/>
  <c r="W43" i="27"/>
  <c r="W35" i="27"/>
  <c r="W27" i="27"/>
  <c r="W19" i="27"/>
  <c r="W39" i="27"/>
  <c r="W31" i="27"/>
  <c r="W23" i="27"/>
  <c r="W15" i="27"/>
  <c r="W38" i="27"/>
  <c r="W14" i="27"/>
  <c r="W64" i="27"/>
  <c r="W56" i="27"/>
  <c r="W48" i="27"/>
  <c r="W40" i="27"/>
  <c r="W32" i="27"/>
  <c r="W24" i="27"/>
  <c r="W16" i="27"/>
  <c r="W61" i="27"/>
  <c r="W53" i="27"/>
  <c r="W45" i="27"/>
  <c r="W37" i="27"/>
  <c r="W29" i="27"/>
  <c r="W21" i="27"/>
  <c r="W13" i="27"/>
  <c r="W58" i="27"/>
  <c r="W50" i="27"/>
  <c r="W42" i="27"/>
  <c r="W34" i="27"/>
  <c r="W26" i="27"/>
  <c r="W18" i="27"/>
  <c r="W63" i="27"/>
  <c r="W55" i="27"/>
  <c r="W47" i="27"/>
  <c r="W60" i="27"/>
  <c r="W52" i="27"/>
  <c r="W44" i="27"/>
  <c r="W36" i="27"/>
  <c r="W28" i="27"/>
  <c r="W20" i="27"/>
  <c r="W57" i="27"/>
  <c r="W49" i="27"/>
  <c r="W41" i="27"/>
  <c r="W33" i="27"/>
  <c r="W25" i="27"/>
  <c r="W17" i="27"/>
  <c r="W54" i="27"/>
  <c r="W30" i="27"/>
  <c r="W62" i="27"/>
  <c r="W46" i="27"/>
  <c r="W22" i="27"/>
  <c r="T16" i="27"/>
  <c r="Q13" i="27"/>
  <c r="T15" i="27"/>
  <c r="T14" i="27"/>
  <c r="N62" i="27"/>
  <c r="N54" i="27"/>
  <c r="N46" i="27"/>
  <c r="N38" i="27"/>
  <c r="N30" i="27"/>
  <c r="N22" i="27"/>
  <c r="N14" i="27"/>
  <c r="N16" i="27"/>
  <c r="N25" i="27"/>
  <c r="N59" i="27"/>
  <c r="N51" i="27"/>
  <c r="N43" i="27"/>
  <c r="N35" i="27"/>
  <c r="N27" i="27"/>
  <c r="N19" i="27"/>
  <c r="N64" i="27"/>
  <c r="N56" i="27"/>
  <c r="N48" i="27"/>
  <c r="N40" i="27"/>
  <c r="N32" i="27"/>
  <c r="N24" i="27"/>
  <c r="N42" i="27"/>
  <c r="N61" i="27"/>
  <c r="N53" i="27"/>
  <c r="N45" i="27"/>
  <c r="N37" i="27"/>
  <c r="N29" i="27"/>
  <c r="N21" i="27"/>
  <c r="N13" i="27"/>
  <c r="N34" i="27"/>
  <c r="N26" i="27"/>
  <c r="N18" i="27"/>
  <c r="N17" i="27"/>
  <c r="N58" i="27"/>
  <c r="N50" i="27"/>
  <c r="N63" i="27"/>
  <c r="N55" i="27"/>
  <c r="N47" i="27"/>
  <c r="N39" i="27"/>
  <c r="N31" i="27"/>
  <c r="N23" i="27"/>
  <c r="N15" i="27"/>
  <c r="N60" i="27"/>
  <c r="N52" i="27"/>
  <c r="N44" i="27"/>
  <c r="N36" i="27"/>
  <c r="N28" i="27"/>
  <c r="N20" i="27"/>
  <c r="N57" i="27"/>
  <c r="N49" i="27"/>
  <c r="N41" i="27"/>
  <c r="N33" i="27"/>
  <c r="T17" i="27"/>
  <c r="Q17" i="27"/>
  <c r="E18" i="27"/>
  <c r="H66" i="27" a="1"/>
  <c r="H66" i="27" s="1"/>
  <c r="W71" i="27"/>
  <c r="N71" i="27"/>
  <c r="D22" i="28"/>
  <c r="D47" i="28"/>
  <c r="D8" i="28"/>
  <c r="D15" i="28"/>
  <c r="G15" i="28"/>
  <c r="D12" i="28" s="1"/>
  <c r="G8" i="28"/>
  <c r="D5" i="28" s="1"/>
  <c r="H17" i="27" s="1"/>
  <c r="G29" i="28"/>
  <c r="D26" i="28" s="1"/>
  <c r="G22" i="28"/>
  <c r="D19" i="28" s="1"/>
  <c r="K13" i="27" s="1"/>
  <c r="K14" i="27" l="1"/>
  <c r="K17" i="27"/>
  <c r="H13" i="27"/>
  <c r="H14" i="27"/>
  <c r="K16" i="27"/>
  <c r="H15" i="27"/>
  <c r="K15" i="27"/>
  <c r="H16" i="27"/>
  <c r="T18" i="27"/>
  <c r="Q18" i="27"/>
  <c r="K18" i="27"/>
  <c r="E19" i="27"/>
  <c r="H18" i="27"/>
  <c r="E8" i="1"/>
  <c r="D11" i="3"/>
  <c r="K8" i="1"/>
  <c r="F5" i="24"/>
  <c r="E196" i="24"/>
  <c r="E195" i="24"/>
  <c r="E194" i="24"/>
  <c r="E193" i="24"/>
  <c r="E192" i="24"/>
  <c r="E191" i="24"/>
  <c r="Q19" i="27" l="1"/>
  <c r="K19" i="27"/>
  <c r="E20" i="27"/>
  <c r="H19" i="27"/>
  <c r="T19" i="27"/>
  <c r="I44" i="1"/>
  <c r="J44" i="1"/>
  <c r="K6" i="1"/>
  <c r="E71" i="27"/>
  <c r="T71" i="27" s="1"/>
  <c r="K20" i="27" l="1"/>
  <c r="E21" i="27"/>
  <c r="H20" i="27"/>
  <c r="Q20" i="27"/>
  <c r="T20" i="27"/>
  <c r="K71" i="27"/>
  <c r="Q71" i="27"/>
  <c r="H71" i="27"/>
  <c r="AH44" i="1"/>
  <c r="AF44" i="1" s="1"/>
  <c r="H44" i="1"/>
  <c r="G44" i="1"/>
  <c r="AO26" i="1"/>
  <c r="AO24" i="1"/>
  <c r="AO20" i="1"/>
  <c r="AO19" i="1"/>
  <c r="AO22" i="1"/>
  <c r="AO23" i="1"/>
  <c r="AO27" i="1"/>
  <c r="K21" i="27" l="1"/>
  <c r="E22" i="27"/>
  <c r="H21" i="27"/>
  <c r="T21" i="27"/>
  <c r="Q21" i="27"/>
  <c r="F11" i="26"/>
  <c r="E23" i="27" l="1"/>
  <c r="H22" i="27"/>
  <c r="T22" i="27"/>
  <c r="Q22" i="27"/>
  <c r="K22" i="27"/>
  <c r="K12" i="19"/>
  <c r="J12" i="19"/>
  <c r="I12" i="19"/>
  <c r="E12" i="19"/>
  <c r="K10" i="24"/>
  <c r="E24" i="27" l="1"/>
  <c r="T23" i="27"/>
  <c r="H23" i="27"/>
  <c r="Q23" i="27"/>
  <c r="K23" i="27"/>
  <c r="L12" i="19"/>
  <c r="K7" i="1"/>
  <c r="H7" i="1"/>
  <c r="H6" i="1"/>
  <c r="H5" i="1"/>
  <c r="D71" i="27"/>
  <c r="AO14" i="1"/>
  <c r="AO16" i="1"/>
  <c r="AO15" i="1"/>
  <c r="AK27" i="1" l="1"/>
  <c r="AN27" i="1" s="1"/>
  <c r="AK26" i="1"/>
  <c r="AN26" i="1" s="1"/>
  <c r="AI27" i="1"/>
  <c r="AL27" i="1" s="1"/>
  <c r="AI26" i="1"/>
  <c r="AJ27" i="1"/>
  <c r="AM27" i="1" s="1"/>
  <c r="AJ26" i="1"/>
  <c r="AM26" i="1" s="1"/>
  <c r="AK23" i="1"/>
  <c r="AN23" i="1" s="1"/>
  <c r="AK22" i="1"/>
  <c r="AN22" i="1" s="1"/>
  <c r="AI23" i="1"/>
  <c r="AL23" i="1" s="1"/>
  <c r="AI22" i="1"/>
  <c r="AJ23" i="1"/>
  <c r="AM23" i="1" s="1"/>
  <c r="AJ22" i="1"/>
  <c r="AM22" i="1" s="1"/>
  <c r="AK14" i="1"/>
  <c r="AN14" i="1" s="1"/>
  <c r="AK24" i="1"/>
  <c r="AN24" i="1" s="1"/>
  <c r="AI14" i="1"/>
  <c r="AL14" i="1" s="1"/>
  <c r="AI24" i="1"/>
  <c r="AJ14" i="1"/>
  <c r="AM14" i="1" s="1"/>
  <c r="AJ24" i="1"/>
  <c r="AM24" i="1" s="1"/>
  <c r="AK16" i="1"/>
  <c r="AN16" i="1" s="1"/>
  <c r="AK15" i="1"/>
  <c r="AN15" i="1" s="1"/>
  <c r="AI16" i="1"/>
  <c r="AL16" i="1" s="1"/>
  <c r="AI15" i="1"/>
  <c r="AJ16" i="1"/>
  <c r="AM16" i="1" s="1"/>
  <c r="AJ15" i="1"/>
  <c r="AM15" i="1" s="1"/>
  <c r="AK20" i="1"/>
  <c r="AN20" i="1" s="1"/>
  <c r="AK19" i="1"/>
  <c r="AN19" i="1" s="1"/>
  <c r="AJ20" i="1"/>
  <c r="AM20" i="1" s="1"/>
  <c r="AJ19" i="1"/>
  <c r="AM19" i="1" s="1"/>
  <c r="AI20" i="1"/>
  <c r="AL20" i="1" s="1"/>
  <c r="AI19" i="1"/>
  <c r="T24" i="27"/>
  <c r="Q24" i="27"/>
  <c r="K24" i="27"/>
  <c r="E25" i="27"/>
  <c r="H24" i="27"/>
  <c r="AI44" i="1"/>
  <c r="AJ44" i="1"/>
  <c r="AM44" i="1" s="1"/>
  <c r="AK44" i="1"/>
  <c r="AN44" i="1" s="1"/>
  <c r="AM65" i="27"/>
  <c r="AM67" i="27" s="1"/>
  <c r="AP23" i="1"/>
  <c r="AP16" i="1"/>
  <c r="AP27" i="1"/>
  <c r="AP20" i="1"/>
  <c r="AP14" i="1"/>
  <c r="AL26" i="1" l="1"/>
  <c r="AE27" i="1"/>
  <c r="AR27" i="1"/>
  <c r="AL22" i="1"/>
  <c r="AE23" i="1"/>
  <c r="AR23" i="1"/>
  <c r="AL24" i="1"/>
  <c r="AR14" i="1"/>
  <c r="AE14" i="1"/>
  <c r="AL15" i="1"/>
  <c r="AR16" i="1"/>
  <c r="AE16" i="1"/>
  <c r="AL19" i="1"/>
  <c r="AR20" i="1"/>
  <c r="AE20" i="1"/>
  <c r="T25" i="27"/>
  <c r="Q25" i="27"/>
  <c r="K25" i="27"/>
  <c r="E26" i="27"/>
  <c r="H25" i="27"/>
  <c r="AL44" i="1"/>
  <c r="AL67" i="27"/>
  <c r="AP26" i="1"/>
  <c r="AP24" i="1"/>
  <c r="AP15" i="1"/>
  <c r="AP22" i="1"/>
  <c r="AP19" i="1"/>
  <c r="AE26" i="1" l="1"/>
  <c r="AR26" i="1"/>
  <c r="AE22" i="1"/>
  <c r="AR22" i="1"/>
  <c r="AE24" i="1"/>
  <c r="AR24" i="1"/>
  <c r="AR15" i="1"/>
  <c r="AE15" i="1"/>
  <c r="AE19" i="1"/>
  <c r="AR19" i="1"/>
  <c r="T26" i="27"/>
  <c r="Q26" i="27"/>
  <c r="K26" i="27"/>
  <c r="E27" i="27"/>
  <c r="H26" i="27"/>
  <c r="I7" i="26"/>
  <c r="BK7" i="26"/>
  <c r="Q27" i="27" l="1"/>
  <c r="T27" i="27"/>
  <c r="K27" i="27"/>
  <c r="E28" i="27"/>
  <c r="H27" i="27"/>
  <c r="J7" i="26"/>
  <c r="K7" i="26" s="1"/>
  <c r="L7" i="26" s="1"/>
  <c r="M7" i="26" s="1"/>
  <c r="I1" i="26"/>
  <c r="K28" i="27" l="1"/>
  <c r="E29" i="27"/>
  <c r="H28" i="27"/>
  <c r="Q28" i="27"/>
  <c r="T28" i="27"/>
  <c r="N7" i="26"/>
  <c r="O7" i="26" s="1"/>
  <c r="P7" i="26" s="1"/>
  <c r="Q7" i="26" s="1"/>
  <c r="M1" i="26"/>
  <c r="K29" i="27" l="1"/>
  <c r="E30" i="27"/>
  <c r="H29" i="27"/>
  <c r="T29" i="27"/>
  <c r="Q29" i="27"/>
  <c r="R7" i="26"/>
  <c r="S7" i="26" s="1"/>
  <c r="T7" i="26" s="1"/>
  <c r="U7" i="26" s="1"/>
  <c r="Q1" i="26"/>
  <c r="E31" i="27" l="1"/>
  <c r="H30" i="27"/>
  <c r="K30" i="27"/>
  <c r="T30" i="27"/>
  <c r="Q30" i="27"/>
  <c r="V7" i="26"/>
  <c r="W7" i="26" s="1"/>
  <c r="X7" i="26" s="1"/>
  <c r="Y7" i="26" s="1"/>
  <c r="U1" i="26"/>
  <c r="E32" i="27" l="1"/>
  <c r="T31" i="27"/>
  <c r="Q31" i="27"/>
  <c r="H31" i="27"/>
  <c r="K31" i="27"/>
  <c r="Z7" i="26"/>
  <c r="Y1" i="26"/>
  <c r="T32" i="27" l="1"/>
  <c r="Q32" i="27"/>
  <c r="K32" i="27"/>
  <c r="E33" i="27"/>
  <c r="H32" i="27"/>
  <c r="AA7" i="26"/>
  <c r="Z1" i="26"/>
  <c r="T33" i="27" l="1"/>
  <c r="Q33" i="27"/>
  <c r="K33" i="27"/>
  <c r="E34" i="27"/>
  <c r="H33" i="27"/>
  <c r="AB7" i="26"/>
  <c r="AA1" i="26"/>
  <c r="B11" i="26"/>
  <c r="T34" i="27" l="1"/>
  <c r="Q34" i="27"/>
  <c r="K34" i="27"/>
  <c r="E35" i="27"/>
  <c r="H34" i="27"/>
  <c r="AC7" i="26"/>
  <c r="AB1" i="26"/>
  <c r="Q35" i="27" l="1"/>
  <c r="K35" i="27"/>
  <c r="E36" i="27"/>
  <c r="H35" i="27"/>
  <c r="T35" i="27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12" i="20"/>
  <c r="J112" i="20"/>
  <c r="I112" i="20"/>
  <c r="E112" i="20"/>
  <c r="K111" i="20"/>
  <c r="J111" i="20"/>
  <c r="I111" i="20"/>
  <c r="E111" i="20"/>
  <c r="K110" i="20"/>
  <c r="J110" i="20"/>
  <c r="I110" i="20"/>
  <c r="E110" i="20"/>
  <c r="K109" i="20"/>
  <c r="J109" i="20"/>
  <c r="I109" i="20"/>
  <c r="E109" i="20"/>
  <c r="K108" i="20"/>
  <c r="J108" i="20"/>
  <c r="I108" i="20"/>
  <c r="E108" i="20"/>
  <c r="K107" i="20"/>
  <c r="J107" i="20"/>
  <c r="I107" i="20"/>
  <c r="E107" i="20"/>
  <c r="K106" i="20"/>
  <c r="J106" i="20"/>
  <c r="I106" i="20"/>
  <c r="E106" i="20"/>
  <c r="K105" i="20"/>
  <c r="J105" i="20"/>
  <c r="I105" i="20"/>
  <c r="E105" i="20"/>
  <c r="K104" i="20"/>
  <c r="J104" i="20"/>
  <c r="I104" i="20"/>
  <c r="E104" i="20"/>
  <c r="K103" i="20"/>
  <c r="J103" i="20"/>
  <c r="I103" i="20"/>
  <c r="E103" i="20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I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36" i="27" l="1"/>
  <c r="E37" i="27"/>
  <c r="H36" i="27"/>
  <c r="Q36" i="27"/>
  <c r="T36" i="27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28" i="20"/>
  <c r="L30" i="20"/>
  <c r="L32" i="20"/>
  <c r="L36" i="20"/>
  <c r="L38" i="20"/>
  <c r="L40" i="20"/>
  <c r="L42" i="20"/>
  <c r="L44" i="20"/>
  <c r="L46" i="20"/>
  <c r="L48" i="20"/>
  <c r="L50" i="20"/>
  <c r="L109" i="20"/>
  <c r="L57" i="20"/>
  <c r="L59" i="20"/>
  <c r="L64" i="20"/>
  <c r="L65" i="20"/>
  <c r="L68" i="20"/>
  <c r="L71" i="20"/>
  <c r="L82" i="20"/>
  <c r="L83" i="20"/>
  <c r="L86" i="20"/>
  <c r="L88" i="20"/>
  <c r="L90" i="20"/>
  <c r="L94" i="20"/>
  <c r="L102" i="20"/>
  <c r="L104" i="20"/>
  <c r="L127" i="19"/>
  <c r="L178" i="19"/>
  <c r="L35" i="20"/>
  <c r="L39" i="20"/>
  <c r="L4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56" i="20"/>
  <c r="L72" i="20"/>
  <c r="L73" i="20"/>
  <c r="L75" i="20"/>
  <c r="L77" i="20"/>
  <c r="L79" i="20"/>
  <c r="L81" i="20"/>
  <c r="L99" i="20"/>
  <c r="L101" i="20"/>
  <c r="L105" i="20"/>
  <c r="L10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43" i="20"/>
  <c r="L51" i="20"/>
  <c r="L78" i="20"/>
  <c r="L98" i="20"/>
  <c r="L106" i="20"/>
  <c r="L110" i="20"/>
  <c r="L112" i="20"/>
  <c r="L58" i="20"/>
  <c r="L63" i="20"/>
  <c r="L69" i="20"/>
  <c r="L87" i="20"/>
  <c r="L95" i="20"/>
  <c r="L27" i="20"/>
  <c r="L31" i="20"/>
  <c r="L33" i="20"/>
  <c r="L34" i="20"/>
  <c r="L45" i="20"/>
  <c r="L49" i="20"/>
  <c r="L55" i="20"/>
  <c r="L66" i="20"/>
  <c r="L67" i="20"/>
  <c r="L80" i="20"/>
  <c r="L89" i="20"/>
  <c r="L91" i="20"/>
  <c r="L93" i="20"/>
  <c r="L10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70" i="20"/>
  <c r="L61" i="20"/>
  <c r="L85" i="20"/>
  <c r="L63" i="19"/>
  <c r="L91" i="19"/>
  <c r="L111" i="19"/>
  <c r="L163" i="19"/>
  <c r="L167" i="19"/>
  <c r="L19" i="19"/>
  <c r="L87" i="19"/>
  <c r="L29" i="20"/>
  <c r="L54" i="20"/>
  <c r="L76" i="20"/>
  <c r="L103" i="20"/>
  <c r="L23" i="19"/>
  <c r="L60" i="19"/>
  <c r="L71" i="19"/>
  <c r="L97" i="19"/>
  <c r="L108" i="19"/>
  <c r="L128" i="19"/>
  <c r="L135" i="19"/>
  <c r="L97" i="20"/>
  <c r="L159" i="19"/>
  <c r="L52" i="20"/>
  <c r="L92" i="20"/>
  <c r="L96" i="20"/>
  <c r="L40" i="19"/>
  <c r="L47" i="19"/>
  <c r="L175" i="19"/>
  <c r="L39" i="19"/>
  <c r="L131" i="19"/>
  <c r="L37" i="20"/>
  <c r="L41" i="20"/>
  <c r="L60" i="20"/>
  <c r="L62" i="20"/>
  <c r="L74" i="20"/>
  <c r="L84" i="20"/>
  <c r="L100" i="20"/>
  <c r="L11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L13" i="17"/>
  <c r="L14" i="17" s="1"/>
  <c r="J18" i="21" s="1"/>
  <c r="K18" i="21" s="1"/>
  <c r="T13" i="17"/>
  <c r="T14" i="17" s="1"/>
  <c r="X13" i="17"/>
  <c r="X14" i="17" s="1"/>
  <c r="AB13" i="17"/>
  <c r="AB14" i="17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4" i="20"/>
  <c r="I14" i="20"/>
  <c r="AH42" i="1"/>
  <c r="K92" i="23"/>
  <c r="K93" i="23"/>
  <c r="K94" i="23"/>
  <c r="A133" i="20"/>
  <c r="J133" i="20"/>
  <c r="I133" i="20"/>
  <c r="H133" i="20"/>
  <c r="F133" i="20"/>
  <c r="E133" i="20"/>
  <c r="A132" i="20"/>
  <c r="E190" i="19"/>
  <c r="E189" i="19"/>
  <c r="E188" i="19"/>
  <c r="E187" i="19"/>
  <c r="E186" i="19"/>
  <c r="E185" i="19"/>
  <c r="A131" i="20"/>
  <c r="J131" i="20"/>
  <c r="K131" i="20"/>
  <c r="I131" i="20"/>
  <c r="E131" i="20"/>
  <c r="A130" i="20"/>
  <c r="A129" i="20"/>
  <c r="A128" i="20"/>
  <c r="A127" i="20"/>
  <c r="D52" i="1"/>
  <c r="J132" i="20"/>
  <c r="I132" i="20"/>
  <c r="H132" i="20"/>
  <c r="F132" i="20"/>
  <c r="E13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24" i="20"/>
  <c r="I40" i="1"/>
  <c r="AR49" i="1"/>
  <c r="AQ49" i="1"/>
  <c r="AP49" i="1"/>
  <c r="AO49" i="1"/>
  <c r="AN49" i="1"/>
  <c r="AM49" i="1"/>
  <c r="AL49" i="1"/>
  <c r="AK49" i="1"/>
  <c r="AJ49" i="1"/>
  <c r="AI49" i="1"/>
  <c r="AH49" i="1"/>
  <c r="AF49" i="1"/>
  <c r="AE49" i="1"/>
  <c r="AD49" i="1"/>
  <c r="K49" i="1"/>
  <c r="M4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4" i="20"/>
  <c r="F14" i="20"/>
  <c r="F10" i="20"/>
  <c r="E14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D10" i="1"/>
  <c r="AV12" i="1"/>
  <c r="H14" i="24" s="1"/>
  <c r="J16" i="19" s="1"/>
  <c r="L16" i="19" s="1"/>
  <c r="Q11" i="1"/>
  <c r="BA11" i="1"/>
  <c r="B3" i="1"/>
  <c r="B2" i="1"/>
  <c r="E3" i="1"/>
  <c r="B8" i="1"/>
  <c r="D7" i="1"/>
  <c r="B7" i="1"/>
  <c r="B6" i="1"/>
  <c r="D5" i="1"/>
  <c r="B5" i="1"/>
  <c r="J125" i="23"/>
  <c r="J120" i="23"/>
  <c r="J122" i="23"/>
  <c r="M27" i="10"/>
  <c r="H108" i="23"/>
  <c r="J124" i="23"/>
  <c r="J123" i="23"/>
  <c r="T28" i="10"/>
  <c r="J126" i="23"/>
  <c r="H211" i="24"/>
  <c r="J119" i="23"/>
  <c r="J121" i="23"/>
  <c r="J36" i="23"/>
  <c r="AO44" i="1"/>
  <c r="AP44" i="1"/>
  <c r="AD27" i="1" l="1"/>
  <c r="I23" i="20" s="1"/>
  <c r="L23" i="20" s="1"/>
  <c r="AD14" i="1"/>
  <c r="I11" i="20" s="1"/>
  <c r="L11" i="20" s="1"/>
  <c r="AD20" i="1"/>
  <c r="I16" i="20" s="1"/>
  <c r="L16" i="20" s="1"/>
  <c r="AD16" i="1"/>
  <c r="I13" i="20" s="1"/>
  <c r="L13" i="20" s="1"/>
  <c r="AD23" i="1"/>
  <c r="I19" i="20" s="1"/>
  <c r="L19" i="20" s="1"/>
  <c r="AD26" i="1"/>
  <c r="I22" i="20" s="1"/>
  <c r="L22" i="20" s="1"/>
  <c r="AD15" i="1"/>
  <c r="I12" i="20" s="1"/>
  <c r="L12" i="20" s="1"/>
  <c r="AD22" i="1"/>
  <c r="I18" i="20" s="1"/>
  <c r="L18" i="20" s="1"/>
  <c r="AD19" i="1"/>
  <c r="I15" i="20" s="1"/>
  <c r="L15" i="20" s="1"/>
  <c r="AD24" i="1"/>
  <c r="I20" i="20" s="1"/>
  <c r="L20" i="20" s="1"/>
  <c r="K37" i="27"/>
  <c r="E38" i="27"/>
  <c r="H37" i="27"/>
  <c r="T37" i="27"/>
  <c r="Q37" i="27"/>
  <c r="AR44" i="1"/>
  <c r="AE44" i="1"/>
  <c r="AD44" i="1"/>
  <c r="AF42" i="1"/>
  <c r="AF7" i="26"/>
  <c r="AE1" i="26"/>
  <c r="O10" i="24"/>
  <c r="O124" i="23"/>
  <c r="AJ40" i="1"/>
  <c r="O115" i="24"/>
  <c r="O11" i="21"/>
  <c r="O41" i="23"/>
  <c r="AJ38" i="1"/>
  <c r="AK40" i="1"/>
  <c r="O79" i="24"/>
  <c r="AK42" i="1"/>
  <c r="AK38" i="1"/>
  <c r="AI42" i="1"/>
  <c r="O91" i="23"/>
  <c r="O175" i="24"/>
  <c r="AJ42" i="1"/>
  <c r="O91" i="24"/>
  <c r="I38" i="1"/>
  <c r="AZ11" i="1"/>
  <c r="O66" i="23"/>
  <c r="J3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53" i="20"/>
  <c r="L5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11" i="23"/>
  <c r="L132" i="20"/>
  <c r="L133" i="20"/>
  <c r="L131" i="20"/>
  <c r="S13" i="17"/>
  <c r="O221" i="24"/>
  <c r="O10" i="21"/>
  <c r="O21" i="21"/>
  <c r="AI4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4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40" i="1"/>
  <c r="AH4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I3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6" i="21"/>
  <c r="K6" i="21" s="1"/>
  <c r="K13" i="17"/>
  <c r="G13" i="17"/>
  <c r="Z14" i="17"/>
  <c r="O13" i="17"/>
  <c r="J169" i="24"/>
  <c r="I166" i="19" s="1"/>
  <c r="L166" i="19" s="1"/>
  <c r="J67" i="24"/>
  <c r="I69" i="19" s="1"/>
  <c r="L69" i="19" s="1"/>
  <c r="R14" i="17"/>
  <c r="AQ13" i="17"/>
  <c r="AO42" i="1"/>
  <c r="AP42" i="1"/>
  <c r="E39" i="27" l="1"/>
  <c r="H38" i="27"/>
  <c r="T38" i="27"/>
  <c r="K38" i="27"/>
  <c r="Q38" i="27"/>
  <c r="K21" i="23"/>
  <c r="AM42" i="1"/>
  <c r="AL42" i="1"/>
  <c r="AN42" i="1"/>
  <c r="AF40" i="1"/>
  <c r="AN40" i="1" s="1"/>
  <c r="AG7" i="26"/>
  <c r="AF1" i="26"/>
  <c r="AK17" i="1"/>
  <c r="AY1" i="1"/>
  <c r="AH38" i="1"/>
  <c r="AJ17" i="1"/>
  <c r="K16" i="21"/>
  <c r="K23" i="24"/>
  <c r="K80" i="23"/>
  <c r="K119" i="24"/>
  <c r="K28" i="24"/>
  <c r="K173" i="24"/>
  <c r="K25" i="23"/>
  <c r="K89" i="23"/>
  <c r="K58" i="23"/>
  <c r="K45" i="23"/>
  <c r="AI28" i="1"/>
  <c r="K124" i="24"/>
  <c r="K36" i="24"/>
  <c r="K13" i="24"/>
  <c r="K84" i="23"/>
  <c r="K85" i="24"/>
  <c r="K17" i="24"/>
  <c r="K112" i="24"/>
  <c r="AJ28" i="1"/>
  <c r="K9" i="24"/>
  <c r="K96" i="24"/>
  <c r="K107" i="24"/>
  <c r="AX1" i="1"/>
  <c r="K182" i="24"/>
  <c r="K5" i="21"/>
  <c r="L114" i="20"/>
  <c r="K15" i="3" s="1"/>
  <c r="AK28" i="1"/>
  <c r="AI17" i="1"/>
  <c r="K9" i="23"/>
  <c r="H38" i="1"/>
  <c r="G38" i="1"/>
  <c r="H40" i="1"/>
  <c r="K31" i="23"/>
  <c r="K67" i="24"/>
  <c r="K169" i="24"/>
  <c r="K160" i="24" s="1"/>
  <c r="AO38" i="1"/>
  <c r="AP38" i="1"/>
  <c r="H39" i="27" l="1"/>
  <c r="T39" i="27"/>
  <c r="Q39" i="27"/>
  <c r="E40" i="27"/>
  <c r="K39" i="27"/>
  <c r="AF38" i="1"/>
  <c r="AM38" i="1" s="1"/>
  <c r="AM40" i="1"/>
  <c r="AL40" i="1"/>
  <c r="AR42" i="1"/>
  <c r="AE42" i="1"/>
  <c r="AH7" i="26"/>
  <c r="AG1" i="26"/>
  <c r="T40" i="27" l="1"/>
  <c r="Q40" i="27"/>
  <c r="K40" i="27"/>
  <c r="E41" i="27"/>
  <c r="H40" i="27"/>
  <c r="AI7" i="26"/>
  <c r="AH1" i="26"/>
  <c r="AD42" i="1"/>
  <c r="AF17" i="1"/>
  <c r="AH28" i="1"/>
  <c r="AN38" i="1"/>
  <c r="AL38" i="1"/>
  <c r="AH17" i="1"/>
  <c r="J2" i="23"/>
  <c r="L115" i="20" s="1"/>
  <c r="K66" i="24"/>
  <c r="T41" i="27" l="1"/>
  <c r="Q41" i="27"/>
  <c r="K41" i="27"/>
  <c r="E42" i="27"/>
  <c r="H41" i="27"/>
  <c r="AJ7" i="26"/>
  <c r="AI1" i="26"/>
  <c r="T42" i="27" l="1"/>
  <c r="Q42" i="27"/>
  <c r="K42" i="27"/>
  <c r="E43" i="27"/>
  <c r="H42" i="27"/>
  <c r="AK7" i="26"/>
  <c r="AJ1" i="26"/>
  <c r="AO17" i="1"/>
  <c r="Q43" i="27" l="1"/>
  <c r="K43" i="27"/>
  <c r="T43" i="27"/>
  <c r="E44" i="27"/>
  <c r="H43" i="27"/>
  <c r="AL7" i="26"/>
  <c r="AK1" i="26"/>
  <c r="AD38" i="1"/>
  <c r="AM17" i="1"/>
  <c r="AL17" i="1"/>
  <c r="AN17" i="1"/>
  <c r="AF28" i="1"/>
  <c r="AE38" i="1"/>
  <c r="AR38" i="1"/>
  <c r="Q44" i="27" l="1"/>
  <c r="K44" i="27"/>
  <c r="E45" i="27"/>
  <c r="H44" i="27"/>
  <c r="T44" i="27"/>
  <c r="AM7" i="26"/>
  <c r="AL1" i="26"/>
  <c r="AP17" i="1"/>
  <c r="AE17" i="1"/>
  <c r="K13" i="3" s="1"/>
  <c r="AR17" i="1"/>
  <c r="AN28" i="1"/>
  <c r="AM28" i="1"/>
  <c r="AL28" i="1"/>
  <c r="K45" i="27" l="1"/>
  <c r="E46" i="27"/>
  <c r="H45" i="27"/>
  <c r="T45" i="27"/>
  <c r="Q45" i="27"/>
  <c r="AN7" i="26"/>
  <c r="AM1" i="26"/>
  <c r="AV13" i="1"/>
  <c r="E47" i="27" l="1"/>
  <c r="H46" i="27"/>
  <c r="T46" i="27"/>
  <c r="Q46" i="27"/>
  <c r="K46" i="27"/>
  <c r="AO7" i="26"/>
  <c r="AN1" i="26"/>
  <c r="E48" i="27" l="1"/>
  <c r="H47" i="27"/>
  <c r="T47" i="27"/>
  <c r="Q47" i="27"/>
  <c r="K47" i="27"/>
  <c r="AP7" i="26"/>
  <c r="AO1" i="26"/>
  <c r="T48" i="27" l="1"/>
  <c r="Q48" i="27"/>
  <c r="K48" i="27"/>
  <c r="E49" i="27"/>
  <c r="H48" i="27"/>
  <c r="AQ7" i="26"/>
  <c r="AP1" i="26"/>
  <c r="T49" i="27" l="1"/>
  <c r="Q49" i="27"/>
  <c r="K49" i="27"/>
  <c r="E50" i="27"/>
  <c r="H49" i="27"/>
  <c r="AR7" i="26"/>
  <c r="AQ1" i="26"/>
  <c r="T50" i="27" l="1"/>
  <c r="Q50" i="27"/>
  <c r="K50" i="27"/>
  <c r="E51" i="27"/>
  <c r="H50" i="27"/>
  <c r="AS7" i="26"/>
  <c r="AR1" i="26"/>
  <c r="Q51" i="27" l="1"/>
  <c r="T51" i="27"/>
  <c r="K51" i="27"/>
  <c r="E52" i="27"/>
  <c r="H51" i="27"/>
  <c r="AT7" i="26"/>
  <c r="AS1" i="26"/>
  <c r="K52" i="27" l="1"/>
  <c r="E53" i="27"/>
  <c r="H52" i="27"/>
  <c r="T52" i="27"/>
  <c r="Q52" i="27"/>
  <c r="AU7" i="26"/>
  <c r="AT1" i="26"/>
  <c r="K53" i="27" l="1"/>
  <c r="E54" i="27"/>
  <c r="H53" i="27"/>
  <c r="T53" i="27"/>
  <c r="Q53" i="27"/>
  <c r="AV7" i="26"/>
  <c r="AU1" i="26"/>
  <c r="E55" i="27" l="1"/>
  <c r="H54" i="27"/>
  <c r="K54" i="27"/>
  <c r="T54" i="27"/>
  <c r="Q54" i="27"/>
  <c r="AW7" i="26"/>
  <c r="AV1" i="26"/>
  <c r="H55" i="27" l="1"/>
  <c r="T55" i="27"/>
  <c r="Q55" i="27"/>
  <c r="K55" i="27"/>
  <c r="E56" i="27"/>
  <c r="AX7" i="26"/>
  <c r="AW1" i="26"/>
  <c r="T56" i="27" l="1"/>
  <c r="Q56" i="27"/>
  <c r="K56" i="27"/>
  <c r="E57" i="27"/>
  <c r="H56" i="27"/>
  <c r="AY7" i="26"/>
  <c r="AX1" i="26"/>
  <c r="T57" i="27" l="1"/>
  <c r="Q57" i="27"/>
  <c r="K57" i="27"/>
  <c r="E58" i="27"/>
  <c r="H57" i="27"/>
  <c r="AZ7" i="26"/>
  <c r="AY1" i="26"/>
  <c r="T58" i="27" l="1"/>
  <c r="Q58" i="27"/>
  <c r="K58" i="27"/>
  <c r="E59" i="27"/>
  <c r="H58" i="27"/>
  <c r="BA7" i="26"/>
  <c r="AZ1" i="26"/>
  <c r="Q59" i="27" l="1"/>
  <c r="K59" i="27"/>
  <c r="E60" i="27"/>
  <c r="H59" i="27"/>
  <c r="T59" i="27"/>
  <c r="BB7" i="26"/>
  <c r="BA1" i="26"/>
  <c r="K60" i="27" l="1"/>
  <c r="Q60" i="27"/>
  <c r="E61" i="27"/>
  <c r="H60" i="27"/>
  <c r="T60" i="27"/>
  <c r="BC7" i="26"/>
  <c r="BB1" i="26"/>
  <c r="K61" i="27" l="1"/>
  <c r="E62" i="27"/>
  <c r="H61" i="27"/>
  <c r="T61" i="27"/>
  <c r="Q61" i="27"/>
  <c r="BD7" i="26"/>
  <c r="BC1" i="26"/>
  <c r="E63" i="27" l="1"/>
  <c r="H62" i="27"/>
  <c r="T62" i="27"/>
  <c r="Q62" i="27"/>
  <c r="K62" i="27"/>
  <c r="BE7" i="26"/>
  <c r="BD1" i="26"/>
  <c r="H63" i="27" l="1"/>
  <c r="T63" i="27"/>
  <c r="E64" i="27"/>
  <c r="Q63" i="27"/>
  <c r="K63" i="27"/>
  <c r="BF7" i="26"/>
  <c r="BE1" i="26"/>
  <c r="T64" i="27" l="1"/>
  <c r="Q64" i="27"/>
  <c r="K64" i="27"/>
  <c r="H64" i="27"/>
  <c r="BG7" i="26"/>
  <c r="BH7" i="26" s="1"/>
  <c r="BF1" i="26"/>
  <c r="BG1" i="26" l="1"/>
  <c r="L25" i="20" l="1"/>
  <c r="AP28" i="1" l="1"/>
  <c r="AO28" i="1"/>
  <c r="AR28" i="1"/>
  <c r="AE28" i="1"/>
  <c r="K14" i="3" l="1"/>
  <c r="AV18" i="1"/>
  <c r="K66" i="27" l="1" a="1"/>
  <c r="K66" i="27" s="1"/>
  <c r="W65" i="27"/>
  <c r="W67" i="27" s="1"/>
  <c r="N65" i="27"/>
  <c r="N67" i="27" s="1"/>
  <c r="V67" i="27" l="1"/>
  <c r="J196" i="24"/>
  <c r="M67" i="27"/>
  <c r="J193" i="24"/>
  <c r="I65" i="27"/>
  <c r="AO40" i="1"/>
  <c r="I190" i="19" l="1"/>
  <c r="L190" i="19" s="1"/>
  <c r="K196" i="24"/>
  <c r="I187" i="19"/>
  <c r="L187" i="19" s="1"/>
  <c r="K193" i="24"/>
  <c r="AE40" i="1"/>
  <c r="AR40" i="1"/>
  <c r="AP40" i="1"/>
  <c r="AD40" i="1" l="1"/>
  <c r="T65" i="27" l="1"/>
  <c r="K65" i="27"/>
  <c r="K67" i="27" s="1"/>
  <c r="H65" i="27"/>
  <c r="H67" i="27" s="1"/>
  <c r="J67" i="27" l="1"/>
  <c r="J192" i="24"/>
  <c r="G67" i="27"/>
  <c r="J191" i="24"/>
  <c r="T67" i="27"/>
  <c r="Q65" i="27"/>
  <c r="Q67" i="27" s="1"/>
  <c r="S67" i="27" l="1"/>
  <c r="J195" i="24"/>
  <c r="I189" i="19" s="1"/>
  <c r="L189" i="19" s="1"/>
  <c r="P67" i="27"/>
  <c r="J194" i="24"/>
  <c r="I188" i="19" s="1"/>
  <c r="L188" i="19" s="1"/>
  <c r="I186" i="19"/>
  <c r="L186" i="19" s="1"/>
  <c r="K192" i="24"/>
  <c r="I185" i="19"/>
  <c r="L185" i="19" s="1"/>
  <c r="K191" i="24"/>
  <c r="K194" i="24" l="1"/>
  <c r="K195" i="24"/>
  <c r="L194" i="19"/>
  <c r="K16" i="3" s="1"/>
  <c r="K190" i="24" l="1"/>
  <c r="J2" i="24" s="1"/>
  <c r="L195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<sst xmlns="http://schemas.openxmlformats.org/spreadsheetml/2006/main" count="2054" uniqueCount="979">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</sst>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4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6" xfId="0" applyFont="1" applyFill="1" applyBorder="1" applyProtection="1">
      <protection locked="0"/>
    </xf>
    <xf numFmtId="0" fontId="0" fillId="0" borderId="127" xfId="0" applyFill="1" applyBorder="1" applyProtection="1">
      <protection locked="0"/>
    </xf>
    <xf numFmtId="0" fontId="33" fillId="0" borderId="127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79" fillId="0" borderId="0" xfId="0" applyFont="1" applyFill="1" applyBorder="1" applyProtection="1">
      <protection locked="0"/>
    </xf>
    <xf numFmtId="0" fontId="79" fillId="6" borderId="11" xfId="0" applyFont="1" applyFill="1" applyBorder="1" applyProtection="1">
      <protection locked="0"/>
    </xf>
    <xf numFmtId="9" fontId="86" fillId="6" borderId="10" xfId="0" applyNumberFormat="1" applyFont="1" applyFill="1" applyBorder="1" applyProtection="1">
      <protection locked="0"/>
    </xf>
    <xf numFmtId="0" fontId="31" fillId="6" borderId="10" xfId="0" applyFont="1" applyFill="1" applyBorder="1" applyProtection="1"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6" borderId="9" xfId="0" applyFill="1" applyBorder="1"/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Alignment="1" applyProtection="1">
      <alignment horizontal="center" vertical="center" textRotation="90"/>
      <protection locked="0"/>
    </xf>
    <xf numFmtId="0" fontId="0" fillId="6" borderId="124" xfId="0" applyFill="1" applyBorder="1" applyAlignment="1" applyProtection="1">
      <alignment horizontal="center" vertical="center" textRotation="90"/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29</xdr:col>
      <xdr:colOff>15621</xdr:colOff>
      <xdr:row>10</xdr:row>
      <xdr:rowOff>93934</xdr:rowOff>
    </xdr:from>
    <xdr:to>
      <xdr:col>29</xdr:col>
      <xdr:colOff>339852</xdr:colOff>
      <xdr:row>11</xdr:row>
      <xdr:rowOff>225537</xdr:rowOff>
    </xdr:to>
    <xdr:pic macro="[0]!lessRATEdetailCLICK">
      <xdr:nvPicPr>
        <xdr:cNvPr id="15" name="\\lessRATEdetail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29</xdr:col>
      <xdr:colOff>15621</xdr:colOff>
      <xdr:row>10</xdr:row>
      <xdr:rowOff>93934</xdr:rowOff>
    </xdr:from>
    <xdr:to>
      <xdr:col>29</xdr:col>
      <xdr:colOff>339852</xdr:colOff>
      <xdr:row>11</xdr:row>
      <xdr:rowOff>225312</xdr:rowOff>
    </xdr:to>
    <xdr:pic macro="[0]!moreRATEdetailCLICK">
      <xdr:nvPicPr>
        <xdr:cNvPr id="280" name="\\moreRATEdetail" hidden="1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17</xdr:row>
      <xdr:rowOff>42865</xdr:rowOff>
    </xdr:from>
    <xdr:to>
      <xdr:col>2</xdr:col>
      <xdr:colOff>34350</xdr:colOff>
      <xdr:row>17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47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28</xdr:row>
      <xdr:rowOff>60959</xdr:rowOff>
    </xdr:from>
    <xdr:to>
      <xdr:col>1</xdr:col>
      <xdr:colOff>1062332</xdr:colOff>
      <xdr:row>31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20</xdr:row>
      <xdr:rowOff>42865</xdr:rowOff>
    </xdr:from>
    <xdr:ext cx="886968" cy="182880"/>
    <xdr:pic macro="[0]!phase_listMENU_CLICK">
      <xdr:nvPicPr>
        <xdr:cNvPr id="18" name="\phasestaff0.79048">
          <a:extLst>
            <a:ext uri="{FF2B5EF4-FFF2-40B4-BE49-F238E27FC236}">
              <a16:creationId xmlns:a16="http://schemas.microsoft.com/office/drawing/2014/main" id="{AC6D7B16-0B01-46C2-A807-48DDD5370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555" y="6555584"/>
          <a:ext cx="886968" cy="182880"/>
        </a:xfrm>
        <a:prstGeom prst="rect">
          <a:avLst/>
        </a:prstGeom>
      </xdr:spPr>
    </xdr:pic>
    <xdr:clientData/>
  </xdr:oneCellAnchor>
  <xdr:oneCellAnchor>
    <xdr:from>
      <xdr:col>1</xdr:col>
      <xdr:colOff>1581149</xdr:colOff>
      <xdr:row>24</xdr:row>
      <xdr:rowOff>42865</xdr:rowOff>
    </xdr:from>
    <xdr:ext cx="886968" cy="182880"/>
    <xdr:pic macro="[0]!phase_listMENU_CLICK">
      <xdr:nvPicPr>
        <xdr:cNvPr id="16" name="\phasestaff0.3735362">
          <a:extLst>
            <a:ext uri="{FF2B5EF4-FFF2-40B4-BE49-F238E27FC236}">
              <a16:creationId xmlns:a16="http://schemas.microsoft.com/office/drawing/2014/main" id="{F627F563-CA45-418A-BB94-E22E4B686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555" y="7412834"/>
          <a:ext cx="886968" cy="18288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 macro="[0]!dummy"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[0]!dummy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44450</xdr:rowOff>
    </xdr:from>
    <xdr:to>
      <xdr:col>60</xdr:col>
      <xdr:colOff>0</xdr:colOff>
      <xdr:row>12</xdr:row>
      <xdr:rowOff>146050</xdr:rowOff>
    </xdr:to>
    <xdr:sp macro="" textlink="">
      <xdr:nvSpPr>
        <xdr:cNvPr id="2" name="\bar_1">
          <a:extLst>
            <a:ext uri="{FF2B5EF4-FFF2-40B4-BE49-F238E27FC236}">
              <a16:creationId xmlns:a16="http://schemas.microsoft.com/office/drawing/2014/main" id="{9FAF4EA9-14B4-4A91-94E6-7FF94F2DC0A7}"/>
            </a:ext>
          </a:extLst>
        </xdr:cNvPr>
        <xdr:cNvSpPr/>
      </xdr:nvSpPr>
      <xdr:spPr>
        <a:xfrm>
          <a:off x="4676775" y="2282825"/>
          <a:ext cx="1287780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60</xdr:col>
      <xdr:colOff>0</xdr:colOff>
      <xdr:row>11</xdr:row>
      <xdr:rowOff>146050</xdr:rowOff>
    </xdr:to>
    <xdr:sp macro="" textlink="">
      <xdr:nvSpPr>
        <xdr:cNvPr id="3" name="\bar_2">
          <a:extLst>
            <a:ext uri="{FF2B5EF4-FFF2-40B4-BE49-F238E27FC236}">
              <a16:creationId xmlns:a16="http://schemas.microsoft.com/office/drawing/2014/main" id="{000116D2-BFCE-4247-99D7-37B435DBE4A3}"/>
            </a:ext>
          </a:extLst>
        </xdr:cNvPr>
        <xdr:cNvSpPr/>
      </xdr:nvSpPr>
      <xdr:spPr>
        <a:xfrm>
          <a:off x="4676775" y="2092325"/>
          <a:ext cx="1287780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16</xdr:row>
      <xdr:rowOff>44450</xdr:rowOff>
    </xdr:from>
    <xdr:to>
      <xdr:col>9</xdr:col>
      <xdr:colOff>0</xdr:colOff>
      <xdr:row>16</xdr:row>
      <xdr:rowOff>146050</xdr:rowOff>
    </xdr:to>
    <xdr:sp macro="" textlink="">
      <xdr:nvSpPr>
        <xdr:cNvPr id="4" name="\bar_3">
          <a:extLst>
            <a:ext uri="{FF2B5EF4-FFF2-40B4-BE49-F238E27FC236}">
              <a16:creationId xmlns:a16="http://schemas.microsoft.com/office/drawing/2014/main" id="{9FFA6E7C-1D19-4AB3-ABE7-AF4718BCE1F5}"/>
            </a:ext>
          </a:extLst>
        </xdr:cNvPr>
        <xdr:cNvSpPr/>
      </xdr:nvSpPr>
      <xdr:spPr>
        <a:xfrm>
          <a:off x="4676775" y="30448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15</xdr:row>
      <xdr:rowOff>44450</xdr:rowOff>
    </xdr:from>
    <xdr:to>
      <xdr:col>9</xdr:col>
      <xdr:colOff>0</xdr:colOff>
      <xdr:row>15</xdr:row>
      <xdr:rowOff>146050</xdr:rowOff>
    </xdr:to>
    <xdr:sp macro="" textlink="">
      <xdr:nvSpPr>
        <xdr:cNvPr id="5" name="\bar_4">
          <a:extLst>
            <a:ext uri="{FF2B5EF4-FFF2-40B4-BE49-F238E27FC236}">
              <a16:creationId xmlns:a16="http://schemas.microsoft.com/office/drawing/2014/main" id="{A0079803-1893-43BA-8FC3-9131DAF7553A}"/>
            </a:ext>
          </a:extLst>
        </xdr:cNvPr>
        <xdr:cNvSpPr/>
      </xdr:nvSpPr>
      <xdr:spPr>
        <a:xfrm>
          <a:off x="4676775" y="28543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14</xdr:row>
      <xdr:rowOff>44450</xdr:rowOff>
    </xdr:from>
    <xdr:to>
      <xdr:col>9</xdr:col>
      <xdr:colOff>0</xdr:colOff>
      <xdr:row>14</xdr:row>
      <xdr:rowOff>146050</xdr:rowOff>
    </xdr:to>
    <xdr:sp macro="" textlink="">
      <xdr:nvSpPr>
        <xdr:cNvPr id="8" name="\bar_5">
          <a:extLst>
            <a:ext uri="{FF2B5EF4-FFF2-40B4-BE49-F238E27FC236}">
              <a16:creationId xmlns:a16="http://schemas.microsoft.com/office/drawing/2014/main" id="{D879CD4F-D898-417A-8758-602C4A40CFB5}"/>
            </a:ext>
          </a:extLst>
        </xdr:cNvPr>
        <xdr:cNvSpPr/>
      </xdr:nvSpPr>
      <xdr:spPr>
        <a:xfrm>
          <a:off x="4676775" y="26638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19</xdr:row>
      <xdr:rowOff>49213</xdr:rowOff>
    </xdr:from>
    <xdr:to>
      <xdr:col>9</xdr:col>
      <xdr:colOff>0</xdr:colOff>
      <xdr:row>19</xdr:row>
      <xdr:rowOff>150813</xdr:rowOff>
    </xdr:to>
    <xdr:sp macro="" textlink="">
      <xdr:nvSpPr>
        <xdr:cNvPr id="6" name="\bar_6">
          <a:extLst>
            <a:ext uri="{FF2B5EF4-FFF2-40B4-BE49-F238E27FC236}">
              <a16:creationId xmlns:a16="http://schemas.microsoft.com/office/drawing/2014/main" id="{CD880D9E-AA52-4B11-88C9-7FBC9A1A547F}"/>
            </a:ext>
          </a:extLst>
        </xdr:cNvPr>
        <xdr:cNvSpPr/>
      </xdr:nvSpPr>
      <xdr:spPr>
        <a:xfrm>
          <a:off x="4676775" y="3621088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18</xdr:row>
      <xdr:rowOff>44450</xdr:rowOff>
    </xdr:from>
    <xdr:to>
      <xdr:col>9</xdr:col>
      <xdr:colOff>0</xdr:colOff>
      <xdr:row>18</xdr:row>
      <xdr:rowOff>146050</xdr:rowOff>
    </xdr:to>
    <xdr:sp macro="" textlink="">
      <xdr:nvSpPr>
        <xdr:cNvPr id="10" name="\bar_7">
          <a:extLst>
            <a:ext uri="{FF2B5EF4-FFF2-40B4-BE49-F238E27FC236}">
              <a16:creationId xmlns:a16="http://schemas.microsoft.com/office/drawing/2014/main" id="{3ECD3A38-4D5F-4F56-A95C-8604B485F31A}"/>
            </a:ext>
          </a:extLst>
        </xdr:cNvPr>
        <xdr:cNvSpPr/>
      </xdr:nvSpPr>
      <xdr:spPr>
        <a:xfrm>
          <a:off x="4676775" y="34258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 macro="[0]!dummy"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[0]!dummy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563880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336816</xdr:colOff>
      <xdr:row>1</xdr:row>
      <xdr:rowOff>338382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259386</xdr:colOff>
      <xdr:row>1</xdr:row>
      <xdr:rowOff>259618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32945</xdr:colOff>
      <xdr:row>0</xdr:row>
      <xdr:rowOff>34760</xdr:rowOff>
    </xdr:from>
    <xdr:to>
      <xdr:col>4</xdr:col>
      <xdr:colOff>260502</xdr:colOff>
      <xdr:row>1</xdr:row>
      <xdr:rowOff>258273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108094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833120</xdr:colOff>
      <xdr:row>1</xdr:row>
      <xdr:rowOff>68580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42545</xdr:colOff>
      <xdr:row>11</xdr:row>
      <xdr:rowOff>30653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833120</xdr:colOff>
      <xdr:row>1</xdr:row>
      <xdr:rowOff>68580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833120</xdr:colOff>
      <xdr:row>1</xdr:row>
      <xdr:rowOff>68580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71218</xdr:colOff>
      <xdr:row>1</xdr:row>
      <xdr:rowOff>68580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71218</xdr:colOff>
      <xdr:row>1</xdr:row>
      <xdr:rowOff>68580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71218</xdr:colOff>
      <xdr:row>1</xdr:row>
      <xdr:rowOff>68580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193773</xdr:colOff>
      <xdr:row>1</xdr:row>
      <xdr:rowOff>68580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193773</xdr:colOff>
      <xdr:row>1</xdr:row>
      <xdr:rowOff>68580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193773</xdr:colOff>
      <xdr:row>1</xdr:row>
      <xdr:rowOff>68580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414001</xdr:colOff>
      <xdr:row>9</xdr:row>
      <xdr:rowOff>144972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411949</xdr:colOff>
      <xdr:row>9</xdr:row>
      <xdr:rowOff>107736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2</xdr:col>
      <xdr:colOff>152400</xdr:colOff>
      <xdr:row>2</xdr:row>
      <xdr:rowOff>71157</xdr:rowOff>
    </xdr:from>
    <xdr:to>
      <xdr:col>4</xdr:col>
      <xdr:colOff>2065618</xdr:colOff>
      <xdr:row>3</xdr:row>
      <xdr:rowOff>18116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2247900" y="676275"/>
          <a:ext cx="2395071" cy="25400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19409</xdr:colOff>
      <xdr:row>3</xdr:row>
      <xdr:rowOff>173372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348862" cy="180656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176174</xdr:colOff>
      <xdr:row>3</xdr:row>
      <xdr:rowOff>173372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180656" cy="18065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231530</xdr:colOff>
      <xdr:row>3</xdr:row>
      <xdr:rowOff>230841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36012" cy="238125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231536</xdr:colOff>
      <xdr:row>3</xdr:row>
      <xdr:rowOff>230841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36018" cy="2381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437341</xdr:colOff>
      <xdr:row>1</xdr:row>
      <xdr:rowOff>57113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0</xdr:col>
      <xdr:colOff>34835</xdr:colOff>
      <xdr:row>0</xdr:row>
      <xdr:rowOff>33463</xdr:rowOff>
    </xdr:from>
    <xdr:to>
      <xdr:col>1</xdr:col>
      <xdr:colOff>361772</xdr:colOff>
      <xdr:row>0</xdr:row>
      <xdr:rowOff>488528</xdr:rowOff>
    </xdr:to>
    <xdr:pic macro="[0]!minusCLICK">
      <xdr:nvPicPr>
        <xdr:cNvPr id="27" name="\\Minus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34835</xdr:colOff>
      <xdr:row>0</xdr:row>
      <xdr:rowOff>33463</xdr:rowOff>
    </xdr:from>
    <xdr:to>
      <xdr:col>1</xdr:col>
      <xdr:colOff>329447</xdr:colOff>
      <xdr:row>0</xdr:row>
      <xdr:rowOff>489312</xdr:rowOff>
    </xdr:to>
    <xdr:pic macro="[0]!plusCLICK">
      <xdr:nvPicPr>
        <xdr:cNvPr id="28" name="\\Plus" hidden="1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193914</xdr:colOff>
      <xdr:row>3</xdr:row>
      <xdr:rowOff>293681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523367" cy="300965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296483</xdr:colOff>
      <xdr:row>3</xdr:row>
      <xdr:rowOff>293681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275801</xdr:colOff>
      <xdr:row>3</xdr:row>
      <xdr:rowOff>228039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80283" cy="235323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280333</xdr:colOff>
      <xdr:row>3</xdr:row>
      <xdr:rowOff>230840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84815" cy="238124"/>
        </a:xfrm>
        <a:prstGeom prst="rect">
          <a:avLst/>
        </a:prstGeom>
      </xdr:spPr>
    </xdr:pic>
    <xdr:clientData/>
  </xdr:twoCellAnchor>
  <xdr:twoCellAnchor>
    <xdr:from>
      <xdr:col>2</xdr:col>
      <xdr:colOff>152400</xdr:colOff>
      <xdr:row>2</xdr:row>
      <xdr:rowOff>71157</xdr:rowOff>
    </xdr:from>
    <xdr:to>
      <xdr:col>4</xdr:col>
      <xdr:colOff>2065618</xdr:colOff>
      <xdr:row>3</xdr:row>
      <xdr:rowOff>18116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2247900" y="676275"/>
          <a:ext cx="2395071" cy="25400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422101</xdr:colOff>
      <xdr:row>1</xdr:row>
      <xdr:rowOff>38063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0</xdr:col>
      <xdr:colOff>34835</xdr:colOff>
      <xdr:row>0</xdr:row>
      <xdr:rowOff>18223</xdr:rowOff>
    </xdr:from>
    <xdr:to>
      <xdr:col>1</xdr:col>
      <xdr:colOff>346532</xdr:colOff>
      <xdr:row>0</xdr:row>
      <xdr:rowOff>482813</xdr:rowOff>
    </xdr:to>
    <xdr:pic macro="[0]!minusCLICK">
      <xdr:nvPicPr>
        <xdr:cNvPr id="27" name="\\Minus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34835</xdr:colOff>
      <xdr:row>0</xdr:row>
      <xdr:rowOff>18223</xdr:rowOff>
    </xdr:from>
    <xdr:to>
      <xdr:col>1</xdr:col>
      <xdr:colOff>318017</xdr:colOff>
      <xdr:row>0</xdr:row>
      <xdr:rowOff>481692</xdr:rowOff>
    </xdr:to>
    <xdr:pic macro="[0]!plusCLICK">
      <xdr:nvPicPr>
        <xdr:cNvPr id="28" name="\\Plus" hidden="1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4" sqref="D14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4.8554687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43358</v>
      </c>
      <c r="I4" s="388"/>
      <c r="J4" s="387" t="s">
        <v>215</v>
      </c>
      <c r="K4" s="11">
        <v>43451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43451</v>
      </c>
      <c r="I5" s="388"/>
      <c r="J5" s="387" t="s">
        <v>216</v>
      </c>
      <c r="K5" s="11">
        <v>43816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 t="e">
        <f ca="1">IF([0]!cDateDiff("M",\pstart,\pend)&gt;0,[0]!cDateDiff("M",\pstart,\pend),0)</f>
        <v>#NAME?</v>
      </c>
      <c r="I6" s="388"/>
      <c r="J6" s="694" t="s">
        <v>9</v>
      </c>
      <c r="K6" s="591" t="e">
        <f ca="1">IF([0]!cDateDiff("M",\cstart,\cend)&gt;0,[0]!cDateDiff("M",\cstart,\cend),0)</f>
        <v>#NAME?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0" t="s">
        <v>288</v>
      </c>
      <c r="E7" s="691"/>
      <c r="F7" s="388"/>
      <c r="G7" s="388"/>
      <c r="H7" s="592" t="e">
        <f ca="1">IF([0]!cDateDiff("WW",\pstart,\pend)&gt;0,[0]!cDateDiff("WW",\pstart,\pend),0)</f>
        <v>#NAME?</v>
      </c>
      <c r="I7" s="391"/>
      <c r="J7" s="694"/>
      <c r="K7" s="592" t="e">
        <f ca="1">IF([0]!cDateDiff("WW",\cstart,\cend)&gt;0,[0]!cDateDiff("WW",\cstart,\cend),0)</f>
        <v>#NAME?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43333.416436111111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0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scenarios="1" formatCells="0" formatColumns="0" formatRows="0" insertHyperlinks="0" sort="0" autoFilter="0" pivotTables="0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E89"/>
  <sheetViews>
    <sheetView tabSelected="1" zoomScale="80" zoomScaleNormal="80" workbookViewId="0">
      <pane xSplit="12" topLeftCell="M1" activePane="topRight" state="frozen"/>
      <selection activeCell="C6" sqref="C6"/>
      <selection pane="topRight" activeCell="F1" sqref="F1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9.85546875" style="18" hidden="1" customWidth="1"/>
    <col min="15" max="25" width="8.5703125" style="18" hidden="1" customWidth="1"/>
    <col min="26" max="26" width="9.85546875" style="18" hidden="1" customWidth="1"/>
    <col min="27" max="28" width="8.5703125" style="18" hidden="1" customWidth="1"/>
    <col min="29" max="29" width="1.7109375" style="395" hidden="1" customWidth="1"/>
    <col min="30" max="30" width="13.28515625" style="18" customWidth="1"/>
    <col min="31" max="31" width="13.7109375" style="18" customWidth="1"/>
    <col min="32" max="32" width="12.140625" style="18" customWidth="1"/>
    <col min="33" max="33" width="8" style="18" customWidth="1"/>
    <col min="34" max="34" width="12.85546875" style="18" customWidth="1"/>
    <col min="35" max="36" width="11.5703125" style="18" customWidth="1"/>
    <col min="37" max="37" width="11.140625" style="18" customWidth="1"/>
    <col min="38" max="38" width="12.28515625" style="18" customWidth="1"/>
    <col min="39" max="39" width="12.7109375" style="18" customWidth="1"/>
    <col min="40" max="40" width="12.5703125" style="18" customWidth="1"/>
    <col min="41" max="41" width="14.7109375" style="18" customWidth="1"/>
    <col min="42" max="42" width="17.140625" style="18" customWidth="1"/>
    <col min="43" max="43" width="2.28515625" style="18" customWidth="1"/>
    <col min="44" max="44" width="14.42578125" style="18" customWidth="1"/>
    <col min="45" max="46" width="9.140625" style="52" customWidth="1"/>
    <col min="47" max="47" width="9.140625" style="18" hidden="1" customWidth="1"/>
    <col min="48" max="48" width="11.42578125" style="18" hidden="1" customWidth="1"/>
    <col min="49" max="49" width="9.140625" style="18" hidden="1" customWidth="1"/>
    <col min="50" max="50" width="11.7109375" style="18" hidden="1" customWidth="1"/>
    <col min="51" max="51" width="11.85546875" style="18" hidden="1" customWidth="1"/>
    <col min="52" max="53" width="8.5703125" style="18" hidden="1" customWidth="1"/>
    <col min="54" max="54" width="9.85546875" style="52" hidden="1" customWidth="1"/>
    <col min="55" max="56" width="9.140625" style="52" hidden="1" customWidth="1"/>
    <col min="57" max="57" width="13" style="52" customWidth="1"/>
    <col min="58" max="72" width="9.140625" style="52"/>
    <col min="73" max="119" width="13" style="52" customWidth="1"/>
    <col min="120" max="16384" width="9.140625" style="52"/>
  </cols>
  <sheetData>
    <row r="1" spans="1:57" s="384" customFormat="1" ht="48.6" customHeight="1" x14ac:dyDescent="0.2">
      <c r="N1" s="396"/>
      <c r="O1" s="396"/>
      <c r="P1" s="396"/>
      <c r="R1" s="394"/>
      <c r="S1" s="394"/>
      <c r="T1" s="394"/>
      <c r="U1" s="394"/>
      <c r="V1" s="394"/>
      <c r="W1" s="394"/>
      <c r="X1" s="394"/>
      <c r="Y1" s="394"/>
      <c r="Z1" s="394"/>
      <c r="AA1" s="394"/>
      <c r="AB1" s="394"/>
      <c r="AU1" s="395"/>
      <c r="AV1" s="395"/>
      <c r="AW1" s="395"/>
      <c r="AX1" s="598">
        <f ca="1">MAX(OFFSET(J13,1,0):OFFSET(J17,-1,0),OFFSET(J18,1,0):OFFSET(J28,-1,0))</f>
        <v>43816</v>
      </c>
      <c r="AY1" s="598">
        <f ca="1">MIN(OFFSET(I13,1,0):OFFSET(I17,-1,0),OFFSET(I18,1,0):OFFSET(I28,-1,0))</f>
        <v>43358</v>
      </c>
      <c r="AZ1" s="396"/>
      <c r="BA1" s="394"/>
    </row>
    <row r="2" spans="1:57" s="384" customFormat="1" ht="27" customHeight="1" x14ac:dyDescent="0.25">
      <c r="B2" s="695" t="str">
        <f>IF(Settings!D4&lt;&gt;0,Settings!D4,"")</f>
        <v/>
      </c>
      <c r="C2" s="695"/>
      <c r="D2" s="397"/>
      <c r="G2" s="398"/>
      <c r="AP2" s="399"/>
      <c r="AU2" s="395"/>
      <c r="AV2" s="395"/>
      <c r="AW2" s="395"/>
      <c r="AX2" s="395"/>
      <c r="AY2" s="395"/>
      <c r="BE2" s="394"/>
    </row>
    <row r="3" spans="1:57" s="384" customFormat="1" ht="22.9" customHeight="1" thickBot="1" x14ac:dyDescent="0.25">
      <c r="B3" s="696" t="str">
        <f>IF(Settings!D5&lt;&gt;0,Settings!D5,"")</f>
        <v/>
      </c>
      <c r="C3" s="696"/>
      <c r="D3" s="400"/>
      <c r="E3" s="401">
        <f ca="1">Settings!\date</f>
        <v>43333.416436111111</v>
      </c>
      <c r="AE3" s="399"/>
      <c r="AR3" s="399"/>
      <c r="AU3" s="395"/>
      <c r="AV3" s="395"/>
      <c r="AW3" s="395"/>
      <c r="AX3" s="395"/>
      <c r="AY3" s="395"/>
    </row>
    <row r="4" spans="1:57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AU4" s="395"/>
      <c r="AV4" s="395"/>
      <c r="AW4" s="395"/>
      <c r="AX4" s="395"/>
      <c r="AY4" s="395"/>
    </row>
    <row r="5" spans="1:57" s="407" customFormat="1" ht="16.899999999999999" customHeight="1" x14ac:dyDescent="0.25">
      <c r="B5" s="408" t="str">
        <f>Settings!G4</f>
        <v>PreCon Start</v>
      </c>
      <c r="C5" s="605">
        <f>Settings!H4</f>
        <v>43358</v>
      </c>
      <c r="D5" s="409" t="str">
        <f>Settings!G6</f>
        <v>Duration</v>
      </c>
      <c r="E5" s="606" t="e">
        <f ca="1">Settings!H6</f>
        <v>#NAME?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AU5" s="414"/>
      <c r="AV5" s="414"/>
      <c r="AW5" s="414"/>
      <c r="AX5" s="414"/>
      <c r="AY5" s="414"/>
    </row>
    <row r="6" spans="1:57" s="407" customFormat="1" ht="16.899999999999999" customHeight="1" x14ac:dyDescent="0.2">
      <c r="B6" s="408" t="str">
        <f>Settings!G5</f>
        <v>PreCon Finish</v>
      </c>
      <c r="C6" s="605">
        <f>Settings!H5</f>
        <v>43451</v>
      </c>
      <c r="D6" s="415"/>
      <c r="E6" s="609" t="e">
        <f ca="1">Settings!H7</f>
        <v>#NAME?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C6" s="416"/>
      <c r="AP6" s="399"/>
      <c r="AU6" s="414"/>
      <c r="AV6" s="414"/>
      <c r="AW6" s="414"/>
      <c r="AX6" s="414"/>
      <c r="AY6" s="414"/>
    </row>
    <row r="7" spans="1:57" s="407" customFormat="1" ht="16.899999999999999" customHeight="1" x14ac:dyDescent="0.25">
      <c r="B7" s="408" t="str">
        <f>Settings!J4</f>
        <v>Contruction Start</v>
      </c>
      <c r="C7" s="605">
        <f>Settings!K4</f>
        <v>43451</v>
      </c>
      <c r="D7" s="409" t="str">
        <f>Settings!J6</f>
        <v>Duration</v>
      </c>
      <c r="E7" s="606" t="e">
        <f ca="1">Settings!K6</f>
        <v>#NAME?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C7" s="416"/>
      <c r="AP7" s="419"/>
      <c r="AU7" s="414"/>
      <c r="AV7" s="414"/>
      <c r="AW7" s="414"/>
      <c r="AX7" s="414"/>
      <c r="AY7" s="414"/>
    </row>
    <row r="8" spans="1:57" s="407" customFormat="1" ht="16.899999999999999" customHeight="1" x14ac:dyDescent="0.25">
      <c r="B8" s="408" t="str">
        <f>Settings!J5</f>
        <v>Construction Finish</v>
      </c>
      <c r="C8" s="605">
        <f>Settings!K5</f>
        <v>43816</v>
      </c>
      <c r="D8" s="415"/>
      <c r="E8" s="609" t="e">
        <f ca="1">Settings!K7</f>
        <v>#NAME?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C8" s="416"/>
      <c r="AP8" s="419"/>
      <c r="AU8" s="414"/>
      <c r="AV8" s="414"/>
      <c r="AW8" s="414"/>
      <c r="AX8" s="414"/>
      <c r="AY8" s="414"/>
    </row>
    <row r="9" spans="1:57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AU9" s="395"/>
      <c r="AV9" s="395"/>
      <c r="AW9" s="395"/>
      <c r="AX9" s="395"/>
      <c r="AY9" s="395"/>
    </row>
    <row r="10" spans="1:57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F10" s="422"/>
      <c r="AU10" s="423"/>
      <c r="AV10" s="423"/>
      <c r="AW10" s="423"/>
      <c r="AX10" s="423"/>
      <c r="AY10" s="423"/>
      <c r="AZ10" s="422"/>
      <c r="BA10" s="422"/>
      <c r="BD10" s="384">
        <f ca="1">OFFSET(AZ12,0,1)-1</f>
        <v>1</v>
      </c>
    </row>
    <row r="11" spans="1:57" ht="14.45" customHeight="1" x14ac:dyDescent="0.2">
      <c r="A11" s="52"/>
      <c r="B11" s="424"/>
      <c r="C11" s="425"/>
      <c r="D11" s="425"/>
      <c r="E11" s="699" t="s">
        <v>251</v>
      </c>
      <c r="F11" s="425"/>
      <c r="G11" s="699" t="s">
        <v>8</v>
      </c>
      <c r="H11" s="425"/>
      <c r="I11" s="699" t="s">
        <v>239</v>
      </c>
      <c r="J11" s="699" t="s">
        <v>252</v>
      </c>
      <c r="K11" s="426"/>
      <c r="L11" s="427"/>
      <c r="M11" s="428"/>
      <c r="N11" s="429">
        <f>EDATE(\pend,N12)</f>
        <v>43360</v>
      </c>
      <c r="O11" s="429">
        <f>EDATE(\pend,O12)</f>
        <v>43390</v>
      </c>
      <c r="P11" s="429">
        <f>EDATE(\pend,P12)</f>
        <v>43421</v>
      </c>
      <c r="Q11" s="430">
        <f t="shared" ref="Q11:AB11" si="0">EDATE(\cstart,Q12-1)</f>
        <v>43451</v>
      </c>
      <c r="R11" s="431">
        <f t="shared" si="0"/>
        <v>43482</v>
      </c>
      <c r="S11" s="431">
        <f t="shared" si="0"/>
        <v>43513</v>
      </c>
      <c r="T11" s="431">
        <f t="shared" si="0"/>
        <v>43541</v>
      </c>
      <c r="U11" s="431">
        <f t="shared" si="0"/>
        <v>43572</v>
      </c>
      <c r="V11" s="431">
        <f t="shared" si="0"/>
        <v>43602</v>
      </c>
      <c r="W11" s="431">
        <f t="shared" si="0"/>
        <v>43633</v>
      </c>
      <c r="X11" s="431">
        <f t="shared" si="0"/>
        <v>43663</v>
      </c>
      <c r="Y11" s="431">
        <f t="shared" si="0"/>
        <v>43694</v>
      </c>
      <c r="Z11" s="431">
        <f t="shared" si="0"/>
        <v>43725</v>
      </c>
      <c r="AA11" s="431">
        <f t="shared" si="0"/>
        <v>43755</v>
      </c>
      <c r="AB11" s="431">
        <f t="shared" si="0"/>
        <v>43786</v>
      </c>
      <c r="AC11" s="432"/>
      <c r="AD11" s="433"/>
      <c r="AE11" s="701" t="s">
        <v>2</v>
      </c>
      <c r="AF11" s="705" t="s">
        <v>379</v>
      </c>
      <c r="AG11" s="703" t="s">
        <v>380</v>
      </c>
      <c r="AH11" s="697" t="s">
        <v>1</v>
      </c>
      <c r="AI11" s="697" t="s">
        <v>240</v>
      </c>
      <c r="AJ11" s="697" t="s">
        <v>241</v>
      </c>
      <c r="AK11" s="697" t="s">
        <v>245</v>
      </c>
      <c r="AL11" s="697" t="s">
        <v>243</v>
      </c>
      <c r="AM11" s="697" t="s">
        <v>244</v>
      </c>
      <c r="AN11" s="697" t="s">
        <v>247</v>
      </c>
      <c r="AO11" s="697" t="s">
        <v>246</v>
      </c>
      <c r="AP11" s="697" t="s">
        <v>242</v>
      </c>
      <c r="AQ11" s="434"/>
      <c r="AR11" s="435"/>
      <c r="AZ11" s="429">
        <f>EDATE(\pend,AZ12)</f>
        <v>43421</v>
      </c>
      <c r="BA11" s="431">
        <f>EDATE(\cstart,BA12-1)</f>
        <v>43482</v>
      </c>
    </row>
    <row r="12" spans="1:57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0"/>
      <c r="F12" s="438"/>
      <c r="G12" s="700"/>
      <c r="H12" s="438" t="s">
        <v>9</v>
      </c>
      <c r="I12" s="700"/>
      <c r="J12" s="700"/>
      <c r="K12" s="439" t="s">
        <v>238</v>
      </c>
      <c r="L12" s="440"/>
      <c r="M12" s="441">
        <v>-2</v>
      </c>
      <c r="N12" s="442">
        <v>-3</v>
      </c>
      <c r="O12" s="442">
        <v>-2</v>
      </c>
      <c r="P12" s="442">
        <v>-1</v>
      </c>
      <c r="Q12" s="443">
        <v>1</v>
      </c>
      <c r="R12" s="444">
        <v>2</v>
      </c>
      <c r="S12" s="444">
        <v>3</v>
      </c>
      <c r="T12" s="444">
        <v>4</v>
      </c>
      <c r="U12" s="444">
        <v>5</v>
      </c>
      <c r="V12" s="444">
        <v>6</v>
      </c>
      <c r="W12" s="444">
        <v>7</v>
      </c>
      <c r="X12" s="444">
        <v>8</v>
      </c>
      <c r="Y12" s="444">
        <v>9</v>
      </c>
      <c r="Z12" s="444">
        <v>10</v>
      </c>
      <c r="AA12" s="444">
        <v>11</v>
      </c>
      <c r="AB12" s="444">
        <v>12</v>
      </c>
      <c r="AC12" s="445"/>
      <c r="AD12" s="446" t="s">
        <v>3</v>
      </c>
      <c r="AE12" s="702"/>
      <c r="AF12" s="706"/>
      <c r="AG12" s="704"/>
      <c r="AH12" s="698"/>
      <c r="AI12" s="698"/>
      <c r="AJ12" s="698"/>
      <c r="AK12" s="698"/>
      <c r="AL12" s="698"/>
      <c r="AM12" s="698"/>
      <c r="AN12" s="698"/>
      <c r="AO12" s="698"/>
      <c r="AP12" s="698"/>
      <c r="AQ12" s="447"/>
      <c r="AR12" s="448" t="s">
        <v>2</v>
      </c>
      <c r="AU12" s="449" t="s">
        <v>313</v>
      </c>
      <c r="AV12" s="449">
        <f>COUNTA(G18:G29)</f>
        <v>2</v>
      </c>
      <c r="AW12" s="449"/>
      <c r="AX12" s="449"/>
      <c r="AY12" s="449"/>
      <c r="AZ12" s="442">
        <v>-1</v>
      </c>
      <c r="BA12" s="444">
        <v>2</v>
      </c>
    </row>
    <row r="13" spans="1:57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2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432"/>
      <c r="AD13" s="372"/>
      <c r="AE13" s="373"/>
      <c r="AF13" s="452"/>
      <c r="AG13" s="373"/>
      <c r="AH13" s="373"/>
      <c r="AI13" s="373"/>
      <c r="AJ13" s="373"/>
      <c r="AK13" s="373"/>
      <c r="AL13" s="373"/>
      <c r="AM13" s="373"/>
      <c r="AN13" s="373"/>
      <c r="AO13" s="373"/>
      <c r="AP13" s="373"/>
      <c r="AQ13" s="373"/>
      <c r="AR13" s="453"/>
      <c r="AU13" s="18" t="s">
        <v>502</v>
      </c>
      <c r="AV13" s="18" t="e">
        <f ca="1">SUM(AE13:AE18)</f>
        <v>#NAME?</v>
      </c>
      <c r="AZ13" s="373"/>
      <c r="BA13" s="373"/>
    </row>
    <row r="14" spans="1:57" ht="16.149999999999999" customHeight="1" x14ac:dyDescent="0.2">
      <c r="A14" s="52"/>
      <c r="B14" s="179" t="s">
        <v>332</v>
      </c>
      <c r="C14" s="180"/>
      <c r="D14" s="181">
        <v>165570</v>
      </c>
      <c r="E14" s="181">
        <v>6800</v>
      </c>
      <c r="F14" s="458"/>
      <c r="G14" s="610">
        <v>-3</v>
      </c>
      <c r="H14" s="611">
        <v>3</v>
      </c>
      <c r="I14" s="612">
        <f>\pstart</f>
        <v>43358</v>
      </c>
      <c r="J14" s="612">
        <f>\pend</f>
        <v>43451</v>
      </c>
      <c r="K14" s="613">
        <f>AVERAGE(N14:P14)</f>
        <v>0.32333333333333336</v>
      </c>
      <c r="L14" s="380"/>
      <c r="M14" s="251"/>
      <c r="N14" s="246">
        <v>0.31</v>
      </c>
      <c r="O14" s="246">
        <v>0.5</v>
      </c>
      <c r="P14" s="246">
        <v>0.16</v>
      </c>
      <c r="Q14" s="247"/>
      <c r="R14" s="246"/>
      <c r="S14" s="246"/>
      <c r="T14" s="246"/>
      <c r="U14" s="246"/>
      <c r="V14" s="246"/>
      <c r="W14" s="246"/>
      <c r="X14" s="246"/>
      <c r="Y14" s="246"/>
      <c r="Z14" s="246"/>
      <c r="AA14" s="246"/>
      <c r="AB14" s="246"/>
      <c r="AC14" s="454"/>
      <c r="AD14" s="538" t="e">
        <f ca="1">AP14/\VACAhrs</f>
        <v>#NAME?</v>
      </c>
      <c r="AE14" s="539" t="e">
        <f ca="1">SUM(AL14:AO14)</f>
        <v>#NAME?</v>
      </c>
      <c r="AF14" s="540">
        <f>AH14*K14</f>
        <v>4.2957142857142863</v>
      </c>
      <c r="AG14" s="541">
        <v>1.6</v>
      </c>
      <c r="AH14" s="542">
        <f>(J14-I14)/7</f>
        <v>13.285714285714286</v>
      </c>
      <c r="AI14" s="543">
        <f>\IT</f>
        <v>52</v>
      </c>
      <c r="AJ14" s="544">
        <f>\iphone</f>
        <v>35</v>
      </c>
      <c r="AK14" s="543">
        <f>\gas</f>
        <v>120</v>
      </c>
      <c r="AL14" s="545">
        <f t="shared" ref="AL14:AN16" si="1">AI14*$AF14</f>
        <v>223.37714285714287</v>
      </c>
      <c r="AM14" s="545">
        <f t="shared" si="1"/>
        <v>150.35000000000002</v>
      </c>
      <c r="AN14" s="545">
        <f t="shared" si="1"/>
        <v>515.48571428571438</v>
      </c>
      <c r="AO14" s="545" t="e">
        <f ca="1">((D14+E14)/52*(1+\conLIT))*calcRaise(I14,J14,\preRaise)</f>
        <v>#NAME?</v>
      </c>
      <c r="AP14" s="546" t="e">
        <f ca="1">(((SUM(AI14:AK14)*(AH14&gt;0))+(((D14+E14)/52)*(1+\conLIT)*calcRaise(I14,J14,\preRaise,FALSE)))/(IF(AH14&gt;0,AH14,1)))*52</f>
        <v>#NAME?</v>
      </c>
      <c r="AQ14" s="547"/>
      <c r="AR14" s="548" t="e">
        <f ca="1">SUM(AL14:AO14)</f>
        <v>#NAME?</v>
      </c>
      <c r="AZ14" s="246"/>
      <c r="BA14" s="246"/>
    </row>
    <row r="15" spans="1:57" ht="16.149999999999999" customHeight="1" x14ac:dyDescent="0.2">
      <c r="A15" s="52"/>
      <c r="B15" s="179" t="s">
        <v>340</v>
      </c>
      <c r="C15" s="180"/>
      <c r="D15" s="181">
        <v>226300</v>
      </c>
      <c r="E15" s="181">
        <v>8000</v>
      </c>
      <c r="F15" s="458"/>
      <c r="G15" s="610" t="e">
        <f ca="1">\pdur*-1</f>
        <v>#NAME?</v>
      </c>
      <c r="H15" s="611" t="e">
        <f ca="1">\pdur</f>
        <v>#NAME?</v>
      </c>
      <c r="I15" s="612">
        <f>\pstart</f>
        <v>43358</v>
      </c>
      <c r="J15" s="612">
        <f>\pend</f>
        <v>43451</v>
      </c>
      <c r="K15" s="613">
        <v>1</v>
      </c>
      <c r="L15" s="380"/>
      <c r="M15" s="251"/>
      <c r="N15" s="246">
        <f t="shared" ref="N15:P16" si="2">$K15</f>
        <v>1</v>
      </c>
      <c r="O15" s="246">
        <f t="shared" si="2"/>
        <v>1</v>
      </c>
      <c r="P15" s="246">
        <f t="shared" si="2"/>
        <v>1</v>
      </c>
      <c r="Q15" s="247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246"/>
      <c r="AC15" s="454"/>
      <c r="AD15" s="538" t="e">
        <f ca="1">AP15/\VACAhrs</f>
        <v>#NAME?</v>
      </c>
      <c r="AE15" s="539" t="e">
        <f ca="1">SUM(AL15:AO15)</f>
        <v>#NAME?</v>
      </c>
      <c r="AF15" s="540">
        <f>AH15*K15</f>
        <v>13.285714285714286</v>
      </c>
      <c r="AG15" s="541">
        <v>2.9</v>
      </c>
      <c r="AH15" s="542">
        <f>(J15-I15)/7</f>
        <v>13.285714285714286</v>
      </c>
      <c r="AI15" s="543">
        <f>\IT</f>
        <v>52</v>
      </c>
      <c r="AJ15" s="544">
        <f>\iphone</f>
        <v>35</v>
      </c>
      <c r="AK15" s="543">
        <f>\gas</f>
        <v>120</v>
      </c>
      <c r="AL15" s="545">
        <f t="shared" si="1"/>
        <v>690.85714285714289</v>
      </c>
      <c r="AM15" s="545">
        <f t="shared" si="1"/>
        <v>465</v>
      </c>
      <c r="AN15" s="545">
        <f t="shared" si="1"/>
        <v>1594.2857142857144</v>
      </c>
      <c r="AO15" s="545" t="e">
        <f ca="1">((D15+E15)/52*(1+\conLIT))*calcRaise(I15,J15,\preRaise)</f>
        <v>#NAME?</v>
      </c>
      <c r="AP15" s="546" t="e">
        <f ca="1">(((SUM(AI15:AK15)*(AH15&gt;0))+(((D15+E15)/52)*(1+\conLIT)*calcRaise(I15,J15,\preRaise,FALSE)))/(IF(AH15&gt;0,AH15,1)))*52</f>
        <v>#NAME?</v>
      </c>
      <c r="AQ15" s="547"/>
      <c r="AR15" s="548" t="e">
        <f ca="1">SUM(AL15:AO15)</f>
        <v>#NAME?</v>
      </c>
      <c r="AZ15" s="246"/>
      <c r="BA15" s="246"/>
    </row>
    <row r="16" spans="1:57" ht="16.149999999999999" customHeight="1" x14ac:dyDescent="0.2">
      <c r="A16" s="52"/>
      <c r="B16" s="179" t="s">
        <v>344</v>
      </c>
      <c r="C16" s="180"/>
      <c r="D16" s="181">
        <v>122400</v>
      </c>
      <c r="E16" s="181">
        <v>6000</v>
      </c>
      <c r="F16" s="458"/>
      <c r="G16" s="610" t="e">
        <f ca="1">\pdur*-1</f>
        <v>#NAME?</v>
      </c>
      <c r="H16" s="611" t="e">
        <f ca="1">\pdur</f>
        <v>#NAME?</v>
      </c>
      <c r="I16" s="612">
        <f>\pstart</f>
        <v>43358</v>
      </c>
      <c r="J16" s="612">
        <f>\pend</f>
        <v>43451</v>
      </c>
      <c r="K16" s="613">
        <v>1</v>
      </c>
      <c r="L16" s="380"/>
      <c r="M16" s="251"/>
      <c r="N16" s="246">
        <f t="shared" si="2"/>
        <v>1</v>
      </c>
      <c r="O16" s="246">
        <f t="shared" si="2"/>
        <v>1</v>
      </c>
      <c r="P16" s="246">
        <f t="shared" si="2"/>
        <v>1</v>
      </c>
      <c r="Q16" s="247"/>
      <c r="R16" s="246"/>
      <c r="S16" s="246"/>
      <c r="T16" s="246"/>
      <c r="U16" s="246"/>
      <c r="V16" s="246"/>
      <c r="W16" s="246"/>
      <c r="X16" s="246"/>
      <c r="Y16" s="246"/>
      <c r="Z16" s="246"/>
      <c r="AA16" s="246"/>
      <c r="AB16" s="246"/>
      <c r="AC16" s="454"/>
      <c r="AD16" s="538" t="e">
        <f ca="1">AP16/\VACAhrs</f>
        <v>#NAME?</v>
      </c>
      <c r="AE16" s="539" t="e">
        <f ca="1">SUM(AL16:AO16)</f>
        <v>#NAME?</v>
      </c>
      <c r="AF16" s="540">
        <f>AH16*K16</f>
        <v>13.285714285714286</v>
      </c>
      <c r="AG16" s="541">
        <v>4.0999999999999996</v>
      </c>
      <c r="AH16" s="542">
        <f>(J16-I16)/7</f>
        <v>13.285714285714286</v>
      </c>
      <c r="AI16" s="543">
        <f>\IT</f>
        <v>52</v>
      </c>
      <c r="AJ16" s="544">
        <f>\iphone</f>
        <v>35</v>
      </c>
      <c r="AK16" s="543">
        <f>\gas</f>
        <v>120</v>
      </c>
      <c r="AL16" s="545">
        <f t="shared" si="1"/>
        <v>690.85714285714289</v>
      </c>
      <c r="AM16" s="545">
        <f t="shared" si="1"/>
        <v>465</v>
      </c>
      <c r="AN16" s="545">
        <f t="shared" si="1"/>
        <v>1594.2857142857144</v>
      </c>
      <c r="AO16" s="545" t="e">
        <f ca="1">((D16+E16)/52*(1+\conLIT))*calcRaise(I16,J16,\preRaise)</f>
        <v>#NAME?</v>
      </c>
      <c r="AP16" s="546" t="e">
        <f ca="1">(((SUM(AI16:AK16)*(AH16&gt;0))+(((D16+E16)/52)*(1+\conLIT)*calcRaise(I16,J16,\preRaise,FALSE)))/(IF(AH16&gt;0,AH16,1)))*52</f>
        <v>#NAME?</v>
      </c>
      <c r="AQ16" s="547"/>
      <c r="AR16" s="548" t="e">
        <f ca="1">SUM(AL16:AO16)</f>
        <v>#NAME?</v>
      </c>
      <c r="AZ16" s="246"/>
      <c r="BA16" s="246"/>
    </row>
    <row r="17" spans="1:53" ht="19.899999999999999" customHeight="1" x14ac:dyDescent="0.2">
      <c r="A17" s="52"/>
      <c r="B17" s="379"/>
      <c r="C17" s="373"/>
      <c r="D17" s="373"/>
      <c r="E17" s="373"/>
      <c r="F17" s="373"/>
      <c r="G17" s="373"/>
      <c r="H17" s="373"/>
      <c r="I17" s="373"/>
      <c r="J17" s="535" t="s">
        <v>511</v>
      </c>
      <c r="K17" s="549"/>
      <c r="L17" s="380"/>
      <c r="M17" s="251"/>
      <c r="N17" s="513"/>
      <c r="O17" s="513"/>
      <c r="P17" s="513"/>
      <c r="Q17" s="512"/>
      <c r="R17" s="513"/>
      <c r="S17" s="513"/>
      <c r="T17" s="513"/>
      <c r="U17" s="513"/>
      <c r="V17" s="513"/>
      <c r="W17" s="513"/>
      <c r="X17" s="513"/>
      <c r="Y17" s="513"/>
      <c r="Z17" s="513"/>
      <c r="AA17" s="513"/>
      <c r="AB17" s="513"/>
      <c r="AC17" s="581"/>
      <c r="AD17" s="520"/>
      <c r="AE17" s="521">
        <f ca="1">SUMIF(AE13:OFFSET(AE17,-1,0),"&gt;0")</f>
        <v>0</v>
      </c>
      <c r="AF17" s="522">
        <f ca="1">SUMIF(AF13:OFFSET(AF17,-1,0),"&gt;0")</f>
        <v>30.867142857142859</v>
      </c>
      <c r="AG17" s="523"/>
      <c r="AH17" s="524">
        <f ca="1">SUMIF(AH13:OFFSET(AH17,-1,0),"&gt;0")</f>
        <v>39.857142857142861</v>
      </c>
      <c r="AI17" s="523">
        <f ca="1">IFERROR(AVERAGEA(AI13:OFFSET(AI17,-1,0)),"")</f>
        <v>52</v>
      </c>
      <c r="AJ17" s="525">
        <f ca="1">IFERROR(AVERAGEA(AJ13:OFFSET(AJ17,-1,0)),"")</f>
        <v>35</v>
      </c>
      <c r="AK17" s="523">
        <f ca="1">IFERROR(AVERAGEA(AK13:OFFSET(AK17,-1,0)),"")</f>
        <v>120</v>
      </c>
      <c r="AL17" s="526">
        <f ca="1">SUMIF(AL13:OFFSET(AL17,-1,0),"&gt;0")</f>
        <v>1605.0914285714287</v>
      </c>
      <c r="AM17" s="526">
        <f ca="1">SUMIF(AM13:OFFSET(AM17,-1,0),"&gt;0")</f>
        <v>1080.3499999999999</v>
      </c>
      <c r="AN17" s="526">
        <f ca="1">SUMIF(AN13:OFFSET(AN17,-1,0),"&gt;0")</f>
        <v>3704.0571428571429</v>
      </c>
      <c r="AO17" s="526">
        <f ca="1">SUMIF(AO13:OFFSET(AO17,-1,0),"&gt;0")</f>
        <v>0</v>
      </c>
      <c r="AP17" s="526">
        <f ca="1">SUMIF(AP13:OFFSET(AP17,-1,0),"&gt;0")</f>
        <v>0</v>
      </c>
      <c r="AQ17" s="525"/>
      <c r="AR17" s="527">
        <f ca="1">SUMIF(AR13:OFFSET(AR17,-1,0),"&gt;0")</f>
        <v>0</v>
      </c>
      <c r="AZ17" s="513"/>
      <c r="BA17" s="513"/>
    </row>
    <row r="18" spans="1:53" ht="19.899999999999999" customHeight="1" x14ac:dyDescent="0.2">
      <c r="A18" s="52"/>
      <c r="B18" s="372" t="s">
        <v>19</v>
      </c>
      <c r="C18" s="373"/>
      <c r="D18" s="373"/>
      <c r="E18" s="373"/>
      <c r="F18" s="373"/>
      <c r="G18" s="373"/>
      <c r="H18" s="373"/>
      <c r="I18" s="373"/>
      <c r="J18" s="373"/>
      <c r="K18" s="455"/>
      <c r="L18" s="427">
        <v>0</v>
      </c>
      <c r="M18" s="428">
        <v>0</v>
      </c>
      <c r="N18" s="381"/>
      <c r="O18" s="381"/>
      <c r="P18" s="381"/>
      <c r="Q18" s="511"/>
      <c r="R18" s="382"/>
      <c r="S18" s="382"/>
      <c r="T18" s="382"/>
      <c r="U18" s="382"/>
      <c r="V18" s="382"/>
      <c r="W18" s="382"/>
      <c r="X18" s="382"/>
      <c r="Y18" s="382"/>
      <c r="Z18" s="382"/>
      <c r="AA18" s="382"/>
      <c r="AB18" s="382"/>
      <c r="AC18" s="432"/>
      <c r="AD18" s="372"/>
      <c r="AE18" s="373"/>
      <c r="AF18" s="456"/>
      <c r="AG18" s="457"/>
      <c r="AH18" s="457"/>
      <c r="AI18" s="373"/>
      <c r="AJ18" s="373"/>
      <c r="AK18" s="373"/>
      <c r="AL18" s="373"/>
      <c r="AM18" s="373"/>
      <c r="AN18" s="373"/>
      <c r="AO18" s="373"/>
      <c r="AP18" s="373"/>
      <c r="AQ18" s="373"/>
      <c r="AR18" s="453"/>
      <c r="AU18" s="18" t="s">
        <v>503</v>
      </c>
      <c r="AV18" s="18" t="e">
        <f ca="1">SUM(AE18:AE29)</f>
        <v>#NAME?</v>
      </c>
      <c r="AZ18" s="381"/>
      <c r="BA18" s="382"/>
    </row>
    <row r="19" spans="1:53" ht="16.149999999999999" customHeight="1" x14ac:dyDescent="0.2">
      <c r="A19" s="52" t="s">
        <v>977</v>
      </c>
      <c r="B19" s="179" t="s">
        <v>348</v>
      </c>
      <c r="C19" s="180"/>
      <c r="D19" s="181">
        <v>135170</v>
      </c>
      <c r="E19" s="181">
        <v>7200</v>
      </c>
      <c r="F19" s="458"/>
      <c r="G19" s="610">
        <v>1</v>
      </c>
      <c r="H19" s="611">
        <v>12</v>
      </c>
      <c r="I19" s="612">
        <f>\cstart</f>
        <v>43451</v>
      </c>
      <c r="J19" s="612">
        <f>\cend</f>
        <v>43816</v>
      </c>
      <c r="K19" s="613">
        <f>AVERAGE(Q19:AB19)</f>
        <v>9.9999999999999992E-2</v>
      </c>
      <c r="L19" s="380"/>
      <c r="M19" s="251"/>
      <c r="N19" s="246"/>
      <c r="O19" s="246"/>
      <c r="P19" s="246"/>
      <c r="Q19" s="247">
        <v>0.1</v>
      </c>
      <c r="R19" s="246">
        <v>0.1</v>
      </c>
      <c r="S19" s="246">
        <v>0.1</v>
      </c>
      <c r="T19" s="246">
        <v>0.1</v>
      </c>
      <c r="U19" s="246">
        <v>0.1</v>
      </c>
      <c r="V19" s="246">
        <v>0.1</v>
      </c>
      <c r="W19" s="246">
        <v>0.1</v>
      </c>
      <c r="X19" s="246">
        <v>0.1</v>
      </c>
      <c r="Y19" s="246">
        <v>9.9999999999999992E-2</v>
      </c>
      <c r="Z19" s="246">
        <v>9.9999999999999992E-2</v>
      </c>
      <c r="AA19" s="246">
        <v>9.9999999999999992E-2</v>
      </c>
      <c r="AB19" s="246">
        <v>9.9999999999999992E-2</v>
      </c>
      <c r="AC19" s="454"/>
      <c r="AD19" s="538" t="e">
        <f ca="1">AP19/\VACAhrs</f>
        <v>#NAME?</v>
      </c>
      <c r="AE19" s="539" t="e">
        <f ca="1">SUM(AL19:AO19)</f>
        <v>#NAME?</v>
      </c>
      <c r="AF19" s="540">
        <f>AH19*K19</f>
        <v>5.2142857142857144</v>
      </c>
      <c r="AG19" s="541">
        <v>4.4999999999999991</v>
      </c>
      <c r="AH19" s="542">
        <f>(J19-I19)/7</f>
        <v>52.142857142857146</v>
      </c>
      <c r="AI19" s="543">
        <f>\IT</f>
        <v>52</v>
      </c>
      <c r="AJ19" s="544">
        <f>\iphone</f>
        <v>35</v>
      </c>
      <c r="AK19" s="543">
        <f>\gas</f>
        <v>120</v>
      </c>
      <c r="AL19" s="545">
        <f t="shared" ref="AL19:AN20" si="3">AI19*$AF19</f>
        <v>271.14285714285717</v>
      </c>
      <c r="AM19" s="545">
        <f t="shared" si="3"/>
        <v>182.5</v>
      </c>
      <c r="AN19" s="545">
        <f t="shared" si="3"/>
        <v>625.71428571428578</v>
      </c>
      <c r="AO19" s="545" t="e">
        <f ca="1">((D19+E19)/52*(1+\conLIT))*calcRaise(I19,J19,\conRaise)</f>
        <v>#NAME?</v>
      </c>
      <c r="AP19" s="546" t="e">
        <f ca="1">(((SUM(AI19:AK19)*(AH19&gt;0))+(((D19+E19)/52)*(1+\conLIT)*calcRaise(I19,J19,\conRaise,FALSE)))/(IF(AH19&gt;0,AH19,1)))*52</f>
        <v>#NAME?</v>
      </c>
      <c r="AQ19" s="547"/>
      <c r="AR19" s="548" t="e">
        <f ca="1">SUM(AL19:AO19)</f>
        <v>#NAME?</v>
      </c>
      <c r="AZ19" s="246"/>
      <c r="BA19" s="246"/>
    </row>
    <row r="20" spans="1:53" ht="16.149999999999999" customHeight="1" x14ac:dyDescent="0.2">
      <c r="A20" s="52" t="s">
        <v>977</v>
      </c>
      <c r="B20" s="179" t="s">
        <v>349</v>
      </c>
      <c r="C20" s="180"/>
      <c r="D20" s="181">
        <v>92050</v>
      </c>
      <c r="E20" s="181"/>
      <c r="F20" s="458"/>
      <c r="G20" s="610">
        <v>-2</v>
      </c>
      <c r="H20" s="611" t="e">
        <f ca="1">\duration</f>
        <v>#NAME?</v>
      </c>
      <c r="I20" s="612">
        <v>43374</v>
      </c>
      <c r="J20" s="612">
        <v>43739</v>
      </c>
      <c r="K20" s="613">
        <f>AVERAGE(O20:Z20)</f>
        <v>0.5</v>
      </c>
      <c r="L20" s="380"/>
      <c r="M20" s="251"/>
      <c r="N20" s="246"/>
      <c r="O20" s="246">
        <v>0.5</v>
      </c>
      <c r="P20" s="246">
        <v>0.5</v>
      </c>
      <c r="Q20" s="247">
        <v>0.5</v>
      </c>
      <c r="R20" s="246">
        <v>0.5</v>
      </c>
      <c r="S20" s="246">
        <v>0.5</v>
      </c>
      <c r="T20" s="246">
        <v>0.5</v>
      </c>
      <c r="U20" s="246">
        <v>0.5</v>
      </c>
      <c r="V20" s="246">
        <v>0.5</v>
      </c>
      <c r="W20" s="246">
        <v>0.5</v>
      </c>
      <c r="X20" s="246">
        <v>0.5</v>
      </c>
      <c r="Y20" s="246">
        <v>0.5</v>
      </c>
      <c r="Z20" s="246">
        <v>0.5</v>
      </c>
      <c r="AA20" s="246"/>
      <c r="AB20" s="246"/>
      <c r="AC20" s="454"/>
      <c r="AD20" s="538" t="e">
        <f ca="1">AP20/\VACAhrs</f>
        <v>#NAME?</v>
      </c>
      <c r="AE20" s="539" t="e">
        <f ca="1">SUM(AL20:AO20)</f>
        <v>#NAME?</v>
      </c>
      <c r="AF20" s="540">
        <f>AH20*K20</f>
        <v>26.071428571428573</v>
      </c>
      <c r="AG20" s="541">
        <v>4.5999999999999988</v>
      </c>
      <c r="AH20" s="542">
        <f>(J20-I20)/7</f>
        <v>52.142857142857146</v>
      </c>
      <c r="AI20" s="543">
        <f>\IT</f>
        <v>52</v>
      </c>
      <c r="AJ20" s="544">
        <f>\iphone</f>
        <v>35</v>
      </c>
      <c r="AK20" s="543">
        <f>\gas</f>
        <v>120</v>
      </c>
      <c r="AL20" s="545">
        <f t="shared" si="3"/>
        <v>1355.7142857142858</v>
      </c>
      <c r="AM20" s="545">
        <f t="shared" si="3"/>
        <v>912.5</v>
      </c>
      <c r="AN20" s="545">
        <f t="shared" si="3"/>
        <v>3128.5714285714289</v>
      </c>
      <c r="AO20" s="545" t="e">
        <f ca="1">((D20+E20)/52*(1+\conLIT))*calcRaise(I20,J20,\conRaise)</f>
        <v>#NAME?</v>
      </c>
      <c r="AP20" s="546" t="e">
        <f ca="1">(((SUM(AI20:AK20)*(AH20&gt;0))+(((D20+E20)/52)*(1+\conLIT)*calcRaise(I20,J20,\conRaise,FALSE)))/(IF(AH20&gt;0,AH20,1)))*52</f>
        <v>#NAME?</v>
      </c>
      <c r="AQ20" s="547"/>
      <c r="AR20" s="548" t="e">
        <f ca="1">SUM(AL20:AO20)</f>
        <v>#NAME?</v>
      </c>
      <c r="AZ20" s="246"/>
      <c r="BA20" s="246"/>
    </row>
    <row r="21" spans="1:53" ht="19.899999999999999" customHeight="1" x14ac:dyDescent="0.2">
      <c r="A21" s="561" t="s">
        <v>951</v>
      </c>
      <c r="B21" s="579" t="s">
        <v>512</v>
      </c>
      <c r="C21" s="562"/>
      <c r="D21" s="562"/>
      <c r="E21" s="562"/>
      <c r="F21" s="562"/>
      <c r="G21" s="562"/>
      <c r="H21" s="562"/>
      <c r="I21" s="580" t="s">
        <v>953</v>
      </c>
      <c r="J21" s="580" t="s">
        <v>952</v>
      </c>
      <c r="K21" s="563"/>
      <c r="L21" s="427">
        <v>0</v>
      </c>
      <c r="M21" s="428">
        <v>0</v>
      </c>
      <c r="N21" s="562"/>
      <c r="O21" s="562"/>
      <c r="P21" s="562"/>
      <c r="Q21" s="564"/>
      <c r="R21" s="562"/>
      <c r="S21" s="562"/>
      <c r="T21" s="562"/>
      <c r="U21" s="562"/>
      <c r="V21" s="562"/>
      <c r="W21" s="562"/>
      <c r="X21" s="562"/>
      <c r="Y21" s="562"/>
      <c r="Z21" s="562"/>
      <c r="AA21" s="562"/>
      <c r="AB21" s="562"/>
      <c r="AC21" s="432"/>
      <c r="AD21" s="564"/>
      <c r="AE21" s="562"/>
      <c r="AF21" s="565"/>
      <c r="AG21" s="566"/>
      <c r="AH21" s="566"/>
      <c r="AI21" s="562"/>
      <c r="AJ21" s="562"/>
      <c r="AK21" s="562"/>
      <c r="AL21" s="562"/>
      <c r="AM21" s="562"/>
      <c r="AN21" s="562"/>
      <c r="AO21" s="562"/>
      <c r="AP21" s="562"/>
      <c r="AQ21" s="562"/>
      <c r="AR21" s="567"/>
      <c r="AZ21" s="562"/>
      <c r="BA21" s="562"/>
    </row>
    <row r="22" spans="1:53" ht="16.149999999999999" customHeight="1" x14ac:dyDescent="0.2">
      <c r="A22" s="52"/>
      <c r="B22" s="179" t="s">
        <v>338</v>
      </c>
      <c r="C22" s="180"/>
      <c r="D22" s="181">
        <v>348880</v>
      </c>
      <c r="E22" s="181">
        <v>12000</v>
      </c>
      <c r="F22" s="458"/>
      <c r="G22" s="610"/>
      <c r="H22" s="611"/>
      <c r="I22" s="612" t="str">
        <f>IFERROR($I$21,"")</f>
        <v>Start?</v>
      </c>
      <c r="J22" s="612" t="str">
        <f>IFERROR($J$21,"")</f>
        <v>Finish?</v>
      </c>
      <c r="K22" s="613">
        <v>0</v>
      </c>
      <c r="L22" s="380"/>
      <c r="M22" s="251"/>
      <c r="N22" s="246"/>
      <c r="O22" s="246"/>
      <c r="P22" s="246"/>
      <c r="Q22" s="247"/>
      <c r="R22" s="246"/>
      <c r="S22" s="246"/>
      <c r="T22" s="246"/>
      <c r="U22" s="246"/>
      <c r="V22" s="246"/>
      <c r="W22" s="246"/>
      <c r="X22" s="246"/>
      <c r="Y22" s="246"/>
      <c r="Z22" s="246"/>
      <c r="AA22" s="246"/>
      <c r="AB22" s="246"/>
      <c r="AC22" s="454"/>
      <c r="AD22" s="538" t="e">
        <f ca="1">AP22/\VACAhrs</f>
        <v>#VALUE!</v>
      </c>
      <c r="AE22" s="539" t="e">
        <f>SUM(AL22:AO22)</f>
        <v>#VALUE!</v>
      </c>
      <c r="AF22" s="540" t="e">
        <f>AH22*K22</f>
        <v>#VALUE!</v>
      </c>
      <c r="AG22" s="541">
        <v>2.7</v>
      </c>
      <c r="AH22" s="542" t="e">
        <f>(J22-I22)/7</f>
        <v>#VALUE!</v>
      </c>
      <c r="AI22" s="543">
        <f>\IT</f>
        <v>52</v>
      </c>
      <c r="AJ22" s="544">
        <f>\iphone</f>
        <v>35</v>
      </c>
      <c r="AK22" s="543">
        <f>\gas</f>
        <v>120</v>
      </c>
      <c r="AL22" s="545" t="e">
        <f t="shared" ref="AL22:AN24" si="4">AI22*$AF22</f>
        <v>#VALUE!</v>
      </c>
      <c r="AM22" s="545" t="e">
        <f t="shared" si="4"/>
        <v>#VALUE!</v>
      </c>
      <c r="AN22" s="545" t="e">
        <f t="shared" si="4"/>
        <v>#VALUE!</v>
      </c>
      <c r="AO22" s="545" t="e">
        <f ca="1">((D22+E22)/52*(1+\conLIT))*calcRaise(I22,J22,\conRaise)</f>
        <v>#NAME?</v>
      </c>
      <c r="AP22" s="546" t="e">
        <f ca="1">(((SUM(AI22:AK22)*(AH22&gt;0))+(((D22+E22)/52)*(1+\conLIT)*calcRaise(I22,J22,\conRaise,FALSE)))/(IF(AH22&gt;0,AH22,1)))*52</f>
        <v>#VALUE!</v>
      </c>
      <c r="AQ22" s="547"/>
      <c r="AR22" s="548" t="e">
        <f>SUM(AL22:AO22)</f>
        <v>#VALUE!</v>
      </c>
      <c r="AZ22" s="246"/>
      <c r="BA22" s="246"/>
    </row>
    <row r="23" spans="1:53" ht="16.149999999999999" customHeight="1" x14ac:dyDescent="0.2">
      <c r="A23" s="52"/>
      <c r="B23" s="179" t="s">
        <v>341</v>
      </c>
      <c r="C23" s="180"/>
      <c r="D23" s="181">
        <v>185620</v>
      </c>
      <c r="E23" s="181">
        <v>7200</v>
      </c>
      <c r="F23" s="458"/>
      <c r="G23" s="610"/>
      <c r="H23" s="611"/>
      <c r="I23" s="612" t="str">
        <f>IFERROR($I$21,"")</f>
        <v>Start?</v>
      </c>
      <c r="J23" s="612" t="str">
        <f>IFERROR($J$21,"")</f>
        <v>Finish?</v>
      </c>
      <c r="K23" s="613">
        <v>0</v>
      </c>
      <c r="L23" s="380"/>
      <c r="M23" s="251"/>
      <c r="N23" s="246"/>
      <c r="O23" s="246"/>
      <c r="P23" s="246"/>
      <c r="Q23" s="247"/>
      <c r="R23" s="246"/>
      <c r="S23" s="246"/>
      <c r="T23" s="246"/>
      <c r="U23" s="246"/>
      <c r="V23" s="246"/>
      <c r="W23" s="246"/>
      <c r="X23" s="246"/>
      <c r="Y23" s="246"/>
      <c r="Z23" s="246"/>
      <c r="AA23" s="246"/>
      <c r="AB23" s="246"/>
      <c r="AC23" s="454"/>
      <c r="AD23" s="538" t="e">
        <f ca="1">AP23/\VACAhrs</f>
        <v>#VALUE!</v>
      </c>
      <c r="AE23" s="539" t="e">
        <f>SUM(AL23:AO23)</f>
        <v>#VALUE!</v>
      </c>
      <c r="AF23" s="540" t="e">
        <f>AH23*K23</f>
        <v>#VALUE!</v>
      </c>
      <c r="AG23" s="541">
        <v>3.2</v>
      </c>
      <c r="AH23" s="542" t="e">
        <f>(J23-I23)/7</f>
        <v>#VALUE!</v>
      </c>
      <c r="AI23" s="543">
        <f>\IT</f>
        <v>52</v>
      </c>
      <c r="AJ23" s="544">
        <f>\iphone</f>
        <v>35</v>
      </c>
      <c r="AK23" s="543">
        <f>\gas</f>
        <v>120</v>
      </c>
      <c r="AL23" s="545" t="e">
        <f t="shared" si="4"/>
        <v>#VALUE!</v>
      </c>
      <c r="AM23" s="545" t="e">
        <f t="shared" si="4"/>
        <v>#VALUE!</v>
      </c>
      <c r="AN23" s="545" t="e">
        <f t="shared" si="4"/>
        <v>#VALUE!</v>
      </c>
      <c r="AO23" s="545" t="e">
        <f ca="1">((D23+E23)/52*(1+\conLIT))*calcRaise(I23,J23,\conRaise)</f>
        <v>#NAME?</v>
      </c>
      <c r="AP23" s="546" t="e">
        <f ca="1">(((SUM(AI23:AK23)*(AH23&gt;0))+(((D23+E23)/52)*(1+\conLIT)*calcRaise(I23,J23,\conRaise,FALSE)))/(IF(AH23&gt;0,AH23,1)))*52</f>
        <v>#VALUE!</v>
      </c>
      <c r="AQ23" s="547"/>
      <c r="AR23" s="548" t="e">
        <f>SUM(AL23:AO23)</f>
        <v>#VALUE!</v>
      </c>
      <c r="AZ23" s="246"/>
      <c r="BA23" s="246"/>
    </row>
    <row r="24" spans="1:53" ht="16.149999999999999" customHeight="1" x14ac:dyDescent="0.2">
      <c r="A24" s="52"/>
      <c r="B24" s="179" t="s">
        <v>343</v>
      </c>
      <c r="C24" s="180"/>
      <c r="D24" s="181">
        <v>151260</v>
      </c>
      <c r="E24" s="181">
        <v>6000</v>
      </c>
      <c r="F24" s="458"/>
      <c r="G24" s="610"/>
      <c r="H24" s="611"/>
      <c r="I24" s="612" t="str">
        <f>IFERROR($I$21,"")</f>
        <v>Start?</v>
      </c>
      <c r="J24" s="612" t="str">
        <f>IFERROR($J$21,"")</f>
        <v>Finish?</v>
      </c>
      <c r="K24" s="613">
        <v>0</v>
      </c>
      <c r="L24" s="380"/>
      <c r="M24" s="251"/>
      <c r="N24" s="246"/>
      <c r="O24" s="246"/>
      <c r="P24" s="246"/>
      <c r="Q24" s="247"/>
      <c r="R24" s="246"/>
      <c r="S24" s="246"/>
      <c r="T24" s="246"/>
      <c r="U24" s="246"/>
      <c r="V24" s="246"/>
      <c r="W24" s="246"/>
      <c r="X24" s="246"/>
      <c r="Y24" s="246"/>
      <c r="Z24" s="246"/>
      <c r="AA24" s="246"/>
      <c r="AB24" s="246"/>
      <c r="AC24" s="454"/>
      <c r="AD24" s="538" t="e">
        <f ca="1">AP24/\VACAhrs</f>
        <v>#VALUE!</v>
      </c>
      <c r="AE24" s="539" t="e">
        <f>SUM(AL24:AO24)</f>
        <v>#VALUE!</v>
      </c>
      <c r="AF24" s="540" t="e">
        <f>AH24*K24</f>
        <v>#VALUE!</v>
      </c>
      <c r="AG24" s="541">
        <v>3.4</v>
      </c>
      <c r="AH24" s="542" t="e">
        <f>(J24-I24)/7</f>
        <v>#VALUE!</v>
      </c>
      <c r="AI24" s="543">
        <f>\IT</f>
        <v>52</v>
      </c>
      <c r="AJ24" s="544">
        <f>\iphone</f>
        <v>35</v>
      </c>
      <c r="AK24" s="543">
        <f>\gas</f>
        <v>120</v>
      </c>
      <c r="AL24" s="545" t="e">
        <f t="shared" si="4"/>
        <v>#VALUE!</v>
      </c>
      <c r="AM24" s="545" t="e">
        <f t="shared" si="4"/>
        <v>#VALUE!</v>
      </c>
      <c r="AN24" s="545" t="e">
        <f t="shared" si="4"/>
        <v>#VALUE!</v>
      </c>
      <c r="AO24" s="545" t="e">
        <f ca="1">((D24+E24)/52*(1+\conLIT))*calcRaise(I24,J24,\conRaise)</f>
        <v>#NAME?</v>
      </c>
      <c r="AP24" s="546" t="e">
        <f ca="1">(((SUM(AI24:AK24)*(AH24&gt;0))+(((D24+E24)/52)*(1+\conLIT)*calcRaise(I24,J24,\conRaise,FALSE)))/(IF(AH24&gt;0,AH24,1)))*52</f>
        <v>#VALUE!</v>
      </c>
      <c r="AQ24" s="547"/>
      <c r="AR24" s="548" t="e">
        <f>SUM(AL24:AO24)</f>
        <v>#VALUE!</v>
      </c>
      <c r="AZ24" s="246"/>
      <c r="BA24" s="246"/>
    </row>
    <row r="25" spans="1:53" ht="19.899999999999999" customHeight="1" x14ac:dyDescent="0.2">
      <c r="A25" s="561" t="s">
        <v>951</v>
      </c>
      <c r="B25" s="579" t="s">
        <v>512</v>
      </c>
      <c r="C25" s="562"/>
      <c r="D25" s="562"/>
      <c r="E25" s="562"/>
      <c r="F25" s="562"/>
      <c r="G25" s="562"/>
      <c r="H25" s="562"/>
      <c r="I25" s="580" t="s">
        <v>953</v>
      </c>
      <c r="J25" s="580" t="s">
        <v>952</v>
      </c>
      <c r="K25" s="563"/>
      <c r="L25" s="427">
        <v>0</v>
      </c>
      <c r="M25" s="428">
        <v>0</v>
      </c>
      <c r="N25" s="562"/>
      <c r="O25" s="562"/>
      <c r="P25" s="562"/>
      <c r="Q25" s="564"/>
      <c r="R25" s="562"/>
      <c r="S25" s="562"/>
      <c r="T25" s="562"/>
      <c r="U25" s="562"/>
      <c r="V25" s="562"/>
      <c r="W25" s="562"/>
      <c r="X25" s="562"/>
      <c r="Y25" s="562"/>
      <c r="Z25" s="562"/>
      <c r="AA25" s="562"/>
      <c r="AB25" s="562"/>
      <c r="AC25" s="432"/>
      <c r="AD25" s="564"/>
      <c r="AE25" s="562"/>
      <c r="AF25" s="565"/>
      <c r="AG25" s="566"/>
      <c r="AH25" s="566"/>
      <c r="AI25" s="562"/>
      <c r="AJ25" s="562"/>
      <c r="AK25" s="562"/>
      <c r="AL25" s="562"/>
      <c r="AM25" s="562"/>
      <c r="AN25" s="562"/>
      <c r="AO25" s="562"/>
      <c r="AP25" s="562"/>
      <c r="AQ25" s="562"/>
      <c r="AR25" s="567"/>
      <c r="AZ25" s="562"/>
      <c r="BA25" s="562"/>
    </row>
    <row r="26" spans="1:53" ht="16.149999999999999" customHeight="1" x14ac:dyDescent="0.2">
      <c r="A26" s="52"/>
      <c r="B26" s="179" t="s">
        <v>329</v>
      </c>
      <c r="C26" s="180"/>
      <c r="D26" s="181">
        <v>277840</v>
      </c>
      <c r="E26" s="181">
        <v>9000</v>
      </c>
      <c r="F26" s="458"/>
      <c r="G26" s="610"/>
      <c r="H26" s="611"/>
      <c r="I26" s="612" t="str">
        <f>IFERROR($I$25,"")</f>
        <v>Start?</v>
      </c>
      <c r="J26" s="612" t="str">
        <f>IFERROR($J$25,"")</f>
        <v>Finish?</v>
      </c>
      <c r="K26" s="613">
        <v>0</v>
      </c>
      <c r="L26" s="380"/>
      <c r="M26" s="251"/>
      <c r="N26" s="246"/>
      <c r="O26" s="246"/>
      <c r="P26" s="246"/>
      <c r="Q26" s="247"/>
      <c r="R26" s="246"/>
      <c r="S26" s="246"/>
      <c r="T26" s="246"/>
      <c r="U26" s="246"/>
      <c r="V26" s="246"/>
      <c r="W26" s="246"/>
      <c r="X26" s="246"/>
      <c r="Y26" s="246"/>
      <c r="Z26" s="246"/>
      <c r="AA26" s="246"/>
      <c r="AB26" s="246"/>
      <c r="AC26" s="454"/>
      <c r="AD26" s="538" t="e">
        <f ca="1">AP26/\VACAhrs</f>
        <v>#VALUE!</v>
      </c>
      <c r="AE26" s="539" t="e">
        <f>SUM(AL26:AO26)</f>
        <v>#VALUE!</v>
      </c>
      <c r="AF26" s="540" t="e">
        <f>AH26*K26</f>
        <v>#VALUE!</v>
      </c>
      <c r="AG26" s="541">
        <v>1.3</v>
      </c>
      <c r="AH26" s="542" t="e">
        <f>(J26-I26)/7</f>
        <v>#VALUE!</v>
      </c>
      <c r="AI26" s="543">
        <f>\IT</f>
        <v>52</v>
      </c>
      <c r="AJ26" s="544">
        <f>\iphone</f>
        <v>35</v>
      </c>
      <c r="AK26" s="543">
        <f>\gas</f>
        <v>120</v>
      </c>
      <c r="AL26" s="545" t="e">
        <f t="shared" ref="AL26:AN27" si="5">AI26*$AF26</f>
        <v>#VALUE!</v>
      </c>
      <c r="AM26" s="545" t="e">
        <f t="shared" si="5"/>
        <v>#VALUE!</v>
      </c>
      <c r="AN26" s="545" t="e">
        <f t="shared" si="5"/>
        <v>#VALUE!</v>
      </c>
      <c r="AO26" s="545" t="e">
        <f ca="1">((D26+E26)/52*(1+\conLIT))*calcRaise(I26,J26,\conRaise)</f>
        <v>#NAME?</v>
      </c>
      <c r="AP26" s="546" t="e">
        <f ca="1">(((SUM(AI26:AK26)*(AH26&gt;0))+(((D26+E26)/52)*(1+\conLIT)*calcRaise(I26,J26,\conRaise,FALSE)))/(IF(AH26&gt;0,AH26,1)))*52</f>
        <v>#VALUE!</v>
      </c>
      <c r="AQ26" s="547"/>
      <c r="AR26" s="548" t="e">
        <f>SUM(AL26:AO26)</f>
        <v>#VALUE!</v>
      </c>
      <c r="AZ26" s="246"/>
      <c r="BA26" s="246"/>
    </row>
    <row r="27" spans="1:53" ht="16.149999999999999" customHeight="1" x14ac:dyDescent="0.2">
      <c r="A27" s="52"/>
      <c r="B27" s="179" t="s">
        <v>334</v>
      </c>
      <c r="C27" s="180"/>
      <c r="D27" s="181">
        <v>115240</v>
      </c>
      <c r="E27" s="181">
        <v>6000</v>
      </c>
      <c r="F27" s="458"/>
      <c r="G27" s="610"/>
      <c r="H27" s="611"/>
      <c r="I27" s="612" t="str">
        <f>IFERROR($I$25,"")</f>
        <v>Start?</v>
      </c>
      <c r="J27" s="612" t="str">
        <f>IFERROR($J$25,"")</f>
        <v>Finish?</v>
      </c>
      <c r="K27" s="613">
        <v>0</v>
      </c>
      <c r="L27" s="380"/>
      <c r="M27" s="251"/>
      <c r="N27" s="246"/>
      <c r="O27" s="246"/>
      <c r="P27" s="246"/>
      <c r="Q27" s="247"/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46"/>
      <c r="AC27" s="454"/>
      <c r="AD27" s="538" t="e">
        <f ca="1">AP27/\VACAhrs</f>
        <v>#VALUE!</v>
      </c>
      <c r="AE27" s="539" t="e">
        <f>SUM(AL27:AO27)</f>
        <v>#VALUE!</v>
      </c>
      <c r="AF27" s="540" t="e">
        <f>AH27*K27</f>
        <v>#VALUE!</v>
      </c>
      <c r="AG27" s="541">
        <v>2.2000000000000002</v>
      </c>
      <c r="AH27" s="542" t="e">
        <f>(J27-I27)/7</f>
        <v>#VALUE!</v>
      </c>
      <c r="AI27" s="543">
        <f>\IT</f>
        <v>52</v>
      </c>
      <c r="AJ27" s="544">
        <f>\iphone</f>
        <v>35</v>
      </c>
      <c r="AK27" s="543">
        <f>\gas</f>
        <v>120</v>
      </c>
      <c r="AL27" s="545" t="e">
        <f t="shared" si="5"/>
        <v>#VALUE!</v>
      </c>
      <c r="AM27" s="545" t="e">
        <f t="shared" si="5"/>
        <v>#VALUE!</v>
      </c>
      <c r="AN27" s="545" t="e">
        <f t="shared" si="5"/>
        <v>#VALUE!</v>
      </c>
      <c r="AO27" s="545" t="e">
        <f ca="1">((D27+E27)/52*(1+\conLIT))*calcRaise(I27,J27,\conRaise)</f>
        <v>#NAME?</v>
      </c>
      <c r="AP27" s="546" t="e">
        <f ca="1">(((SUM(AI27:AK27)*(AH27&gt;0))+(((D27+E27)/52)*(1+\conLIT)*calcRaise(I27,J27,\conRaise,FALSE)))/(IF(AH27&gt;0,AH27,1)))*52</f>
        <v>#VALUE!</v>
      </c>
      <c r="AQ27" s="547"/>
      <c r="AR27" s="548" t="e">
        <f>SUM(AL27:AO27)</f>
        <v>#VALUE!</v>
      </c>
      <c r="AZ27" s="246"/>
      <c r="BA27" s="246"/>
    </row>
    <row r="28" spans="1:53" ht="19.899999999999999" customHeight="1" x14ac:dyDescent="0.2">
      <c r="A28" s="52"/>
      <c r="B28" s="379"/>
      <c r="C28" s="373"/>
      <c r="D28" s="373"/>
      <c r="E28" s="373"/>
      <c r="F28" s="373"/>
      <c r="G28" s="373"/>
      <c r="H28" s="373"/>
      <c r="I28" s="373"/>
      <c r="J28" s="535" t="s">
        <v>511</v>
      </c>
      <c r="K28" s="549"/>
      <c r="L28" s="380"/>
      <c r="M28" s="251"/>
      <c r="N28" s="513"/>
      <c r="O28" s="513"/>
      <c r="P28" s="513"/>
      <c r="Q28" s="512"/>
      <c r="R28" s="513"/>
      <c r="S28" s="513"/>
      <c r="T28" s="513"/>
      <c r="U28" s="513"/>
      <c r="V28" s="513"/>
      <c r="W28" s="513"/>
      <c r="X28" s="513"/>
      <c r="Y28" s="513"/>
      <c r="Z28" s="513"/>
      <c r="AA28" s="513"/>
      <c r="AB28" s="513"/>
      <c r="AC28" s="581"/>
      <c r="AD28" s="528"/>
      <c r="AE28" s="529">
        <f ca="1">SUMIF(AE18:OFFSET(AE28,-1,0),"&gt;0")</f>
        <v>0</v>
      </c>
      <c r="AF28" s="530">
        <f ca="1">SUMIF(AF18:OFFSET(AF28,-1,0),"&gt;0")</f>
        <v>31.285714285714288</v>
      </c>
      <c r="AG28" s="531"/>
      <c r="AH28" s="532">
        <f ca="1">SUMIF(AH18:OFFSET(AH28,-1,0),"&gt;0")</f>
        <v>104.28571428571429</v>
      </c>
      <c r="AI28" s="531">
        <f ca="1">IFERROR(AVERAGEA(AI18:OFFSET(AI28,-1,0)),"")</f>
        <v>52</v>
      </c>
      <c r="AJ28" s="533">
        <f ca="1">IFERROR(AVERAGEA(AJ18:OFFSET(AJ28,-1,0)),"")</f>
        <v>35</v>
      </c>
      <c r="AK28" s="531">
        <f ca="1">IFERROR(AVERAGEA(AK18:OFFSET(AK28,-1,0)),"")</f>
        <v>120</v>
      </c>
      <c r="AL28" s="534">
        <f ca="1">SUMIF(AL18:OFFSET(AL28,-1,0),"&gt;0")</f>
        <v>1626.8571428571429</v>
      </c>
      <c r="AM28" s="534">
        <f ca="1">SUMIF(AM18:OFFSET(AM28,-1,0),"&gt;0")</f>
        <v>1095</v>
      </c>
      <c r="AN28" s="534">
        <f ca="1">SUMIF(AN18:OFFSET(AN28,-1,0),"&gt;0")</f>
        <v>3754.2857142857147</v>
      </c>
      <c r="AO28" s="534">
        <f ca="1">SUMIF(AO18:OFFSET(AO28,-1,0),"&gt;0")</f>
        <v>0</v>
      </c>
      <c r="AP28" s="534">
        <f ca="1">SUMIF(AP18:OFFSET(AP28,-1,0),"&gt;0")</f>
        <v>0</v>
      </c>
      <c r="AQ28" s="536"/>
      <c r="AR28" s="537">
        <f ca="1">SUMIF(AR18:OFFSET(AR28,-1,0),"&gt;0")</f>
        <v>0</v>
      </c>
      <c r="AZ28" s="513"/>
      <c r="BA28" s="513"/>
    </row>
    <row r="29" spans="1:53" ht="6.6" customHeight="1" thickBot="1" x14ac:dyDescent="0.25">
      <c r="A29" s="52"/>
      <c r="B29" s="459"/>
      <c r="C29" s="460"/>
      <c r="D29" s="460"/>
      <c r="E29" s="460"/>
      <c r="F29" s="460"/>
      <c r="G29" s="461"/>
      <c r="H29" s="462"/>
      <c r="I29" s="463"/>
      <c r="J29" s="463"/>
      <c r="K29" s="464"/>
      <c r="L29" s="465"/>
      <c r="M29" s="251"/>
      <c r="N29" s="466"/>
      <c r="O29" s="466"/>
      <c r="P29" s="466"/>
      <c r="Q29" s="467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54"/>
      <c r="AD29" s="469"/>
      <c r="AE29" s="470"/>
      <c r="AF29" s="471"/>
      <c r="AG29" s="472"/>
      <c r="AH29" s="472"/>
      <c r="AI29" s="473"/>
      <c r="AJ29" s="473"/>
      <c r="AK29" s="473"/>
      <c r="AL29" s="473"/>
      <c r="AM29" s="473"/>
      <c r="AN29" s="473"/>
      <c r="AO29" s="473"/>
      <c r="AP29" s="473"/>
      <c r="AQ29" s="473"/>
      <c r="AR29" s="474"/>
      <c r="AZ29" s="466"/>
      <c r="BA29" s="468"/>
    </row>
    <row r="30" spans="1:53" x14ac:dyDescent="0.2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465"/>
      <c r="L30" s="465"/>
      <c r="M30" s="465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384"/>
      <c r="AD30" s="52"/>
      <c r="AE30" s="52"/>
      <c r="AF30" s="52"/>
      <c r="AG30" s="475"/>
      <c r="AH30" s="475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Z30" s="52"/>
      <c r="BA30" s="52"/>
    </row>
    <row r="31" spans="1:53" x14ac:dyDescent="0.2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465"/>
      <c r="L31" s="465"/>
      <c r="M31" s="465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384"/>
      <c r="AD31" s="52"/>
      <c r="AE31" s="52"/>
      <c r="AF31" s="52"/>
      <c r="AG31" s="475"/>
      <c r="AH31" s="475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Z31" s="52"/>
      <c r="BA31" s="52"/>
    </row>
    <row r="32" spans="1:53" x14ac:dyDescent="0.2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465"/>
      <c r="L32" s="465"/>
      <c r="M32" s="465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384"/>
      <c r="AD32" s="52"/>
      <c r="AE32" s="52"/>
      <c r="AF32" s="52"/>
      <c r="AG32" s="475"/>
      <c r="AH32" s="475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Z32" s="52"/>
      <c r="BA32" s="52"/>
    </row>
    <row r="33" spans="1:53" x14ac:dyDescent="0.2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465"/>
      <c r="L33" s="465"/>
      <c r="M33" s="465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384"/>
      <c r="AD33" s="52"/>
      <c r="AE33" s="52"/>
      <c r="AF33" s="52"/>
      <c r="AG33" s="475"/>
      <c r="AH33" s="475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Z33" s="52"/>
      <c r="BA33" s="52"/>
    </row>
    <row r="34" spans="1:53" x14ac:dyDescent="0.2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465"/>
      <c r="L34" s="465"/>
      <c r="M34" s="465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384"/>
      <c r="AD34" s="52"/>
      <c r="AE34" s="52"/>
      <c r="AF34" s="52"/>
      <c r="AG34" s="475"/>
      <c r="AH34" s="475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Z34" s="52"/>
      <c r="BA34" s="52"/>
    </row>
    <row r="35" spans="1:53" x14ac:dyDescent="0.2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465"/>
      <c r="L35" s="465"/>
      <c r="M35" s="465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384"/>
      <c r="AD35" s="52"/>
      <c r="AE35" s="52"/>
      <c r="AF35" s="52"/>
      <c r="AG35" s="475"/>
      <c r="AH35" s="475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Z35" s="52"/>
      <c r="BA35" s="52"/>
    </row>
    <row r="36" spans="1:53" x14ac:dyDescent="0.2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465"/>
      <c r="L36" s="465"/>
      <c r="M36" s="465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384"/>
      <c r="AD36" s="52"/>
      <c r="AE36" s="52"/>
      <c r="AF36" s="52"/>
      <c r="AG36" s="475"/>
      <c r="AH36" s="475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Z36" s="52"/>
      <c r="BA36" s="52"/>
    </row>
    <row r="37" spans="1:53" hidden="1" x14ac:dyDescent="0.2">
      <c r="A37" s="52"/>
      <c r="J37" s="52"/>
      <c r="K37" s="465"/>
      <c r="L37" s="465"/>
      <c r="M37" s="465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384"/>
      <c r="AD37" s="52"/>
      <c r="AE37" s="52"/>
      <c r="AF37" s="52"/>
      <c r="AG37" s="475"/>
      <c r="AH37" s="475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Z37" s="52"/>
      <c r="BA37" s="52"/>
    </row>
    <row r="38" spans="1:53" ht="16.149999999999999" hidden="1" customHeight="1" x14ac:dyDescent="0.2">
      <c r="A38" s="52"/>
      <c r="B38" s="179"/>
      <c r="C38" s="180"/>
      <c r="D38" s="181"/>
      <c r="E38" s="181"/>
      <c r="F38" s="458"/>
      <c r="G38" s="610" t="e">
        <f ca="1">\pdur*-1</f>
        <v>#NAME?</v>
      </c>
      <c r="H38" s="611" t="e">
        <f ca="1">\pdur</f>
        <v>#NAME?</v>
      </c>
      <c r="I38" s="612">
        <f>\pstart</f>
        <v>43358</v>
      </c>
      <c r="J38" s="612">
        <f>\pend</f>
        <v>43451</v>
      </c>
      <c r="K38" s="613"/>
      <c r="L38" s="380"/>
      <c r="M38" s="251"/>
      <c r="N38" s="246"/>
      <c r="O38" s="246"/>
      <c r="P38" s="246"/>
      <c r="Q38" s="247"/>
      <c r="R38" s="246"/>
      <c r="S38" s="246"/>
      <c r="T38" s="246"/>
      <c r="U38" s="246"/>
      <c r="V38" s="246"/>
      <c r="W38" s="246"/>
      <c r="X38" s="246"/>
      <c r="Y38" s="246"/>
      <c r="Z38" s="246"/>
      <c r="AA38" s="246"/>
      <c r="AB38" s="246"/>
      <c r="AC38" s="454"/>
      <c r="AD38" s="538" t="e">
        <f ca="1">AP38/\VACAhrs</f>
        <v>#NAME?</v>
      </c>
      <c r="AE38" s="539" t="e">
        <f ca="1">SUM(AL38:AO38)</f>
        <v>#NAME?</v>
      </c>
      <c r="AF38" s="540">
        <f>AH38*K38</f>
        <v>0</v>
      </c>
      <c r="AG38" s="541"/>
      <c r="AH38" s="542">
        <f>(J38-I38)/7</f>
        <v>13.285714285714286</v>
      </c>
      <c r="AI38" s="543">
        <f>\IT</f>
        <v>52</v>
      </c>
      <c r="AJ38" s="544">
        <f>\iphone</f>
        <v>35</v>
      </c>
      <c r="AK38" s="543">
        <f>\gas</f>
        <v>120</v>
      </c>
      <c r="AL38" s="545">
        <f>AI38*$AF38</f>
        <v>0</v>
      </c>
      <c r="AM38" s="545">
        <f>AJ38*$AF38</f>
        <v>0</v>
      </c>
      <c r="AN38" s="545">
        <f>AK38*$AF38</f>
        <v>0</v>
      </c>
      <c r="AO38" s="545" t="e">
        <f ca="1">((D38+E38)/52*(1+\conLIT))*calcRaise(I38,J38,\preRaise)</f>
        <v>#NAME?</v>
      </c>
      <c r="AP38" s="546" t="e">
        <f ca="1">(((SUM(AI38:AK38)*(AH38&gt;0))+(((D38+E38)/52)*(1+\conLIT)*calcRaise(I38,J38,\preRaise,FALSE)))/(IF(AH38&gt;0,AH38,1)))*52</f>
        <v>#NAME?</v>
      </c>
      <c r="AQ38" s="547"/>
      <c r="AR38" s="548" t="e">
        <f ca="1">SUM(AL38:AO38)</f>
        <v>#NAME?</v>
      </c>
      <c r="AZ38" s="246"/>
      <c r="BA38" s="246"/>
    </row>
    <row r="39" spans="1:53" hidden="1" x14ac:dyDescent="0.2">
      <c r="A39" s="52"/>
      <c r="L39" s="52"/>
      <c r="M39" s="52"/>
      <c r="AC39" s="384"/>
      <c r="AE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6"/>
    </row>
    <row r="40" spans="1:53" ht="16.149999999999999" hidden="1" customHeight="1" x14ac:dyDescent="0.2">
      <c r="A40" s="52"/>
      <c r="B40" s="179"/>
      <c r="C40" s="180"/>
      <c r="D40" s="181"/>
      <c r="E40" s="181"/>
      <c r="F40" s="458"/>
      <c r="G40" s="610">
        <v>1</v>
      </c>
      <c r="H40" s="611" t="e">
        <f ca="1">\duration</f>
        <v>#NAME?</v>
      </c>
      <c r="I40" s="612">
        <f>\cstart</f>
        <v>43451</v>
      </c>
      <c r="J40" s="612">
        <f>\cend</f>
        <v>43816</v>
      </c>
      <c r="K40" s="613"/>
      <c r="L40" s="380"/>
      <c r="M40" s="251"/>
      <c r="N40" s="246"/>
      <c r="O40" s="246"/>
      <c r="P40" s="246"/>
      <c r="Q40" s="247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454"/>
      <c r="AD40" s="538" t="e">
        <f ca="1">AP40/\VACAhrs</f>
        <v>#NAME?</v>
      </c>
      <c r="AE40" s="539" t="e">
        <f ca="1">SUM(AL40:AO40)</f>
        <v>#NAME?</v>
      </c>
      <c r="AF40" s="540">
        <f>AH40*K40</f>
        <v>0</v>
      </c>
      <c r="AG40" s="541"/>
      <c r="AH40" s="542">
        <f>(J40-I40)/7</f>
        <v>52.142857142857146</v>
      </c>
      <c r="AI40" s="543">
        <f>\IT</f>
        <v>52</v>
      </c>
      <c r="AJ40" s="544">
        <f>\iphone</f>
        <v>35</v>
      </c>
      <c r="AK40" s="543">
        <f>\gas</f>
        <v>120</v>
      </c>
      <c r="AL40" s="545">
        <f>AI40*$AF40</f>
        <v>0</v>
      </c>
      <c r="AM40" s="545">
        <f>AJ40*$AF40</f>
        <v>0</v>
      </c>
      <c r="AN40" s="545">
        <f>AK40*$AF40</f>
        <v>0</v>
      </c>
      <c r="AO40" s="545" t="e">
        <f ca="1">((D40+E40)/52*(1+\conLIT))*calcRaise(I40,J40,\conRaise)</f>
        <v>#NAME?</v>
      </c>
      <c r="AP40" s="546" t="e">
        <f ca="1">(((SUM(AI40:AK40)*(AH40&gt;0))+(((D40+E40)/52)*(1+\conLIT)*calcRaise(I40,J40,\conRaise,FALSE)))/(IF(AH40&gt;0,AH40,1)))*52</f>
        <v>#NAME?</v>
      </c>
      <c r="AQ40" s="547"/>
      <c r="AR40" s="548" t="e">
        <f ca="1">SUM(AL40:AO40)</f>
        <v>#NAME?</v>
      </c>
      <c r="AZ40" s="246"/>
      <c r="BA40" s="246"/>
    </row>
    <row r="41" spans="1:53" hidden="1" x14ac:dyDescent="0.2">
      <c r="A41" s="52"/>
      <c r="L41" s="52"/>
      <c r="M41" s="52"/>
      <c r="AC41" s="384"/>
    </row>
    <row r="42" spans="1:53" ht="16.149999999999999" hidden="1" customHeight="1" x14ac:dyDescent="0.2">
      <c r="A42" s="52"/>
      <c r="B42" s="179"/>
      <c r="C42" s="180"/>
      <c r="D42" s="181"/>
      <c r="E42" s="181"/>
      <c r="F42" s="458"/>
      <c r="G42" s="610"/>
      <c r="H42" s="611"/>
      <c r="I42" s="612"/>
      <c r="J42" s="612"/>
      <c r="K42" s="613"/>
      <c r="L42" s="380"/>
      <c r="M42" s="251"/>
      <c r="N42" s="246"/>
      <c r="O42" s="246"/>
      <c r="P42" s="246"/>
      <c r="Q42" s="247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454"/>
      <c r="AD42" s="538" t="e">
        <f ca="1">AP42/\VACAhrs</f>
        <v>#NAME?</v>
      </c>
      <c r="AE42" s="539" t="e">
        <f ca="1">SUM(AL42:AO42)</f>
        <v>#NAME?</v>
      </c>
      <c r="AF42" s="540">
        <f>AH42*K42</f>
        <v>0</v>
      </c>
      <c r="AG42" s="541"/>
      <c r="AH42" s="542">
        <f>(J42-I42)/7</f>
        <v>0</v>
      </c>
      <c r="AI42" s="543">
        <f>\IT</f>
        <v>52</v>
      </c>
      <c r="AJ42" s="544">
        <f>\iphone</f>
        <v>35</v>
      </c>
      <c r="AK42" s="543">
        <f>\gas</f>
        <v>120</v>
      </c>
      <c r="AL42" s="545">
        <f>AI42*$AF42</f>
        <v>0</v>
      </c>
      <c r="AM42" s="545">
        <f>AJ42*$AF42</f>
        <v>0</v>
      </c>
      <c r="AN42" s="545">
        <f>AK42*$AF42</f>
        <v>0</v>
      </c>
      <c r="AO42" s="545" t="e">
        <f ca="1">((D42+E42)/52*(1+\conLIT))*calcRaise(I42,J42,\conRaise)</f>
        <v>#NAME?</v>
      </c>
      <c r="AP42" s="546" t="e">
        <f ca="1">(((SUM(AI42:AK42)*(AH42&gt;0))+(((D42+E42)/52)*(1+\conLIT)*calcRaise(I42,J42,\conRaise,FALSE)))/(IF(AH42&gt;0,AH42,1)))*52</f>
        <v>#NAME?</v>
      </c>
      <c r="AQ42" s="547"/>
      <c r="AR42" s="548" t="e">
        <f ca="1">SUM(AL42:AO42)</f>
        <v>#NAME?</v>
      </c>
      <c r="AZ42" s="246"/>
      <c r="BA42" s="246"/>
    </row>
    <row r="43" spans="1:53" hidden="1" x14ac:dyDescent="0.2">
      <c r="A43" s="52"/>
      <c r="AC43" s="384"/>
    </row>
    <row r="44" spans="1:53" ht="16.149999999999999" hidden="1" customHeight="1" x14ac:dyDescent="0.2">
      <c r="A44" s="52"/>
      <c r="B44" s="179"/>
      <c r="C44" s="180"/>
      <c r="D44" s="181"/>
      <c r="E44" s="181"/>
      <c r="F44" s="458"/>
      <c r="G44" s="610" t="e">
        <f ca="1">\pdur*-1</f>
        <v>#NAME?</v>
      </c>
      <c r="H44" s="611" t="e">
        <f ca="1">\pdur</f>
        <v>#NAME?</v>
      </c>
      <c r="I44" s="612">
        <f>\pstart</f>
        <v>43358</v>
      </c>
      <c r="J44" s="612">
        <f>\pend</f>
        <v>43451</v>
      </c>
      <c r="K44" s="613"/>
      <c r="L44" s="380"/>
      <c r="M44" s="251"/>
      <c r="N44" s="246"/>
      <c r="O44" s="246"/>
      <c r="P44" s="246"/>
      <c r="Q44" s="247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454"/>
      <c r="AD44" s="538" t="e">
        <f ca="1">AP44/\VACAhrs</f>
        <v>#NAME?</v>
      </c>
      <c r="AE44" s="539" t="e">
        <f ca="1">SUM(AL44:AO44)</f>
        <v>#NAME?</v>
      </c>
      <c r="AF44" s="540">
        <f>AH44*K44</f>
        <v>0</v>
      </c>
      <c r="AG44" s="541"/>
      <c r="AH44" s="542">
        <f>(J44-I44)/7</f>
        <v>13.285714285714286</v>
      </c>
      <c r="AI44" s="543">
        <f>\IT</f>
        <v>52</v>
      </c>
      <c r="AJ44" s="544">
        <f>\iphone</f>
        <v>35</v>
      </c>
      <c r="AK44" s="543">
        <f>\gas</f>
        <v>120</v>
      </c>
      <c r="AL44" s="545">
        <f>AI44*$AF44</f>
        <v>0</v>
      </c>
      <c r="AM44" s="545">
        <f>AJ44*$AF44</f>
        <v>0</v>
      </c>
      <c r="AN44" s="545">
        <f>AK44*$AF44</f>
        <v>0</v>
      </c>
      <c r="AO44" s="545" t="e">
        <f ca="1">((D44+E44)/52*(1+\preLIT))*calcRaise(I44,J44,\preRaise)</f>
        <v>#NAME?</v>
      </c>
      <c r="AP44" s="546" t="e">
        <f ca="1">(((SUM(AI44:AK44)*(AH44&gt;0))+(((D44+E44)/52)*(1+\preLIT)*calcRaise(I44,J44,\preRaise,FALSE)))/(IF(AH44&gt;0,AH44,1)))*52</f>
        <v>#NAME?</v>
      </c>
      <c r="AQ44" s="547"/>
      <c r="AR44" s="548" t="e">
        <f ca="1">SUM(AL44:AO44)</f>
        <v>#NAME?</v>
      </c>
      <c r="AZ44" s="246"/>
      <c r="BA44" s="246"/>
    </row>
    <row r="45" spans="1:53" hidden="1" x14ac:dyDescent="0.2">
      <c r="A45" s="52"/>
    </row>
    <row r="46" spans="1:53" hidden="1" x14ac:dyDescent="0.2">
      <c r="A46" s="52"/>
    </row>
    <row r="47" spans="1:53" hidden="1" x14ac:dyDescent="0.2">
      <c r="A47" s="52"/>
    </row>
    <row r="48" spans="1:53" ht="19.899999999999999" hidden="1" customHeight="1" x14ac:dyDescent="0.2">
      <c r="A48" s="561" t="s">
        <v>951</v>
      </c>
      <c r="B48" s="579" t="s">
        <v>512</v>
      </c>
      <c r="C48" s="562"/>
      <c r="D48" s="562"/>
      <c r="E48" s="562"/>
      <c r="F48" s="562"/>
      <c r="G48" s="562"/>
      <c r="H48" s="562"/>
      <c r="I48" s="580" t="s">
        <v>953</v>
      </c>
      <c r="J48" s="580" t="s">
        <v>952</v>
      </c>
      <c r="K48" s="563"/>
      <c r="L48" s="427">
        <v>0</v>
      </c>
      <c r="M48" s="428">
        <v>0</v>
      </c>
      <c r="N48" s="562"/>
      <c r="O48" s="562"/>
      <c r="P48" s="562"/>
      <c r="Q48" s="564"/>
      <c r="R48" s="562"/>
      <c r="S48" s="562"/>
      <c r="T48" s="562"/>
      <c r="U48" s="562"/>
      <c r="V48" s="562"/>
      <c r="W48" s="562"/>
      <c r="X48" s="562"/>
      <c r="Y48" s="562"/>
      <c r="Z48" s="562"/>
      <c r="AA48" s="562"/>
      <c r="AB48" s="562"/>
      <c r="AC48" s="432"/>
      <c r="AD48" s="564"/>
      <c r="AE48" s="562"/>
      <c r="AF48" s="565"/>
      <c r="AG48" s="566"/>
      <c r="AH48" s="566"/>
      <c r="AI48" s="562"/>
      <c r="AJ48" s="562"/>
      <c r="AK48" s="562"/>
      <c r="AL48" s="562"/>
      <c r="AM48" s="562"/>
      <c r="AN48" s="562"/>
      <c r="AO48" s="562"/>
      <c r="AP48" s="562"/>
      <c r="AQ48" s="562"/>
      <c r="AR48" s="567"/>
      <c r="AZ48" s="562"/>
      <c r="BA48" s="562"/>
    </row>
    <row r="49" spans="1:53" ht="19.899999999999999" hidden="1" customHeight="1" x14ac:dyDescent="0.2">
      <c r="A49" s="52"/>
      <c r="B49" s="517"/>
      <c r="C49" s="513"/>
      <c r="D49" s="513"/>
      <c r="E49" s="513"/>
      <c r="F49" s="513"/>
      <c r="G49" s="513"/>
      <c r="H49" s="513"/>
      <c r="I49" s="513"/>
      <c r="J49" s="518" t="s">
        <v>511</v>
      </c>
      <c r="K49" s="519" t="str">
        <f ca="1">IFERROR(AVERAGEA(K48:OFFSET(K49,-1,0)),"")</f>
        <v/>
      </c>
      <c r="L49" s="380"/>
      <c r="M49" s="251" t="str">
        <f ca="1">$K49</f>
        <v/>
      </c>
      <c r="N49" s="513"/>
      <c r="O49" s="513"/>
      <c r="P49" s="513"/>
      <c r="Q49" s="512"/>
      <c r="R49" s="513"/>
      <c r="S49" s="513"/>
      <c r="T49" s="513"/>
      <c r="U49" s="513"/>
      <c r="V49" s="513"/>
      <c r="W49" s="513"/>
      <c r="X49" s="513"/>
      <c r="Y49" s="513"/>
      <c r="Z49" s="513"/>
      <c r="AA49" s="513"/>
      <c r="AB49" s="513"/>
      <c r="AC49" s="454"/>
      <c r="AD49" s="514" t="str">
        <f ca="1">IFERROR(AVERAGEA(AD48:OFFSET(AD49,-1,0)),"")</f>
        <v/>
      </c>
      <c r="AE49" s="515">
        <f ca="1">SUMIF(AE48:OFFSET(AE49,-1,0),"&gt;0")</f>
        <v>0</v>
      </c>
      <c r="AF49" s="516">
        <f ca="1">SUMIF(AF48:OFFSET(AF49,-1,0),"&gt;0")</f>
        <v>0</v>
      </c>
      <c r="AG49" s="374"/>
      <c r="AH49" s="376">
        <f ca="1">SUMIF(AH48:OFFSET(AH49,-1,0),"&gt;0")</f>
        <v>0</v>
      </c>
      <c r="AI49" s="374" t="str">
        <f ca="1">IFERROR(AVERAGEA(AI48:OFFSET(AI49,-1,0)),"")</f>
        <v/>
      </c>
      <c r="AJ49" s="375" t="str">
        <f ca="1">IFERROR(AVERAGEA(AJ48:OFFSET(AJ49,-1,0)),"")</f>
        <v/>
      </c>
      <c r="AK49" s="374" t="str">
        <f ca="1">IFERROR(AVERAGEA(AK48:OFFSET(AK49,-1,0)),"")</f>
        <v/>
      </c>
      <c r="AL49" s="377">
        <f ca="1">SUMIF(AL48:OFFSET(AL49,-1,0),"&gt;0")</f>
        <v>0</v>
      </c>
      <c r="AM49" s="377">
        <f ca="1">SUMIF(AM48:OFFSET(AM49,-1,0),"&gt;0")</f>
        <v>0</v>
      </c>
      <c r="AN49" s="377">
        <f ca="1">SUMIF(AN48:OFFSET(AN49,-1,0),"&gt;0")</f>
        <v>0</v>
      </c>
      <c r="AO49" s="377">
        <f ca="1">SUMIF(AO48:OFFSET(AO49,-1,0),"&gt;0")</f>
        <v>0</v>
      </c>
      <c r="AP49" s="377">
        <f ca="1">SUMIF(AP48:OFFSET(AP49,-1,0),"&gt;0")</f>
        <v>0</v>
      </c>
      <c r="AQ49" s="375">
        <f ca="1">COUNTA(AQ48:OFFSET(AQ49,-1,0))</f>
        <v>0</v>
      </c>
      <c r="AR49" s="378">
        <f ca="1">SUMIF(AR48:OFFSET(AR49,-1,0),"&gt;0")</f>
        <v>0</v>
      </c>
      <c r="AZ49" s="513"/>
      <c r="BA49" s="513"/>
    </row>
    <row r="50" spans="1:53" hidden="1" x14ac:dyDescent="0.2">
      <c r="A50" s="52"/>
    </row>
    <row r="51" spans="1:53" hidden="1" x14ac:dyDescent="0.2">
      <c r="A51" s="52"/>
    </row>
    <row r="52" spans="1:53" s="407" customFormat="1" ht="16.899999999999999" hidden="1" customHeight="1" x14ac:dyDescent="0.25">
      <c r="B52" s="408" t="s">
        <v>954</v>
      </c>
      <c r="C52" s="605"/>
      <c r="D52" s="409">
        <f>Settings!J48</f>
        <v>0</v>
      </c>
      <c r="E52" s="606"/>
      <c r="F52" s="410"/>
      <c r="G52" s="411"/>
      <c r="H52" s="411"/>
      <c r="I52" s="411"/>
      <c r="J52" s="409"/>
      <c r="K52" s="614"/>
      <c r="L52" s="417"/>
      <c r="M52" s="418"/>
      <c r="AC52" s="416"/>
      <c r="AP52" s="419"/>
      <c r="AU52" s="414"/>
      <c r="AV52" s="414"/>
      <c r="AW52" s="414"/>
      <c r="AX52" s="414"/>
      <c r="AY52" s="414"/>
    </row>
    <row r="53" spans="1:53" s="407" customFormat="1" ht="16.899999999999999" hidden="1" customHeight="1" x14ac:dyDescent="0.25">
      <c r="B53" s="408" t="s">
        <v>955</v>
      </c>
      <c r="C53" s="605"/>
      <c r="D53" s="415"/>
      <c r="E53" s="609"/>
      <c r="F53" s="410"/>
      <c r="G53" s="411"/>
      <c r="H53" s="411"/>
      <c r="I53" s="411"/>
      <c r="J53" s="409"/>
      <c r="K53" s="614"/>
      <c r="L53" s="417"/>
      <c r="M53" s="418"/>
      <c r="AC53" s="416"/>
      <c r="AP53" s="419"/>
      <c r="AU53" s="414"/>
      <c r="AV53" s="414"/>
      <c r="AW53" s="414"/>
      <c r="AX53" s="414"/>
      <c r="AY53" s="414"/>
    </row>
    <row r="54" spans="1:53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384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U54" s="52"/>
      <c r="AV54" s="52"/>
      <c r="AW54" s="52"/>
      <c r="AX54" s="52"/>
      <c r="AY54" s="52"/>
      <c r="AZ54" s="52"/>
      <c r="BA54" s="52"/>
    </row>
    <row r="55" spans="1:53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384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U55" s="52"/>
      <c r="AV55" s="52"/>
      <c r="AW55" s="52"/>
      <c r="AX55" s="52"/>
      <c r="AY55" s="52"/>
      <c r="AZ55" s="52"/>
      <c r="BA55" s="52"/>
    </row>
    <row r="56" spans="1:53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384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U56" s="52"/>
      <c r="AV56" s="52"/>
      <c r="AW56" s="52"/>
      <c r="AX56" s="52"/>
      <c r="AY56" s="52"/>
      <c r="AZ56" s="52"/>
      <c r="BA56" s="52"/>
    </row>
    <row r="57" spans="1:53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384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U57" s="52"/>
      <c r="AV57" s="52"/>
      <c r="AW57" s="52"/>
      <c r="AX57" s="52"/>
      <c r="AY57" s="52"/>
      <c r="AZ57" s="52"/>
      <c r="BA57" s="52"/>
    </row>
    <row r="58" spans="1:53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384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U58" s="52"/>
      <c r="AV58" s="52"/>
      <c r="AW58" s="52"/>
      <c r="AX58" s="52"/>
      <c r="AY58" s="52"/>
      <c r="AZ58" s="52"/>
      <c r="BA58" s="52"/>
    </row>
    <row r="59" spans="1:53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384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U59" s="52"/>
      <c r="AV59" s="52"/>
      <c r="AW59" s="52"/>
      <c r="AX59" s="52"/>
      <c r="AY59" s="52"/>
      <c r="AZ59" s="52"/>
      <c r="BA59" s="52"/>
    </row>
    <row r="60" spans="1:53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384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U60" s="52"/>
      <c r="AV60" s="52"/>
      <c r="AW60" s="52"/>
      <c r="AX60" s="52"/>
      <c r="AY60" s="52"/>
      <c r="AZ60" s="52"/>
      <c r="BA60" s="52"/>
    </row>
    <row r="61" spans="1:53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384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U61" s="52"/>
      <c r="AV61" s="52"/>
      <c r="AW61" s="52"/>
      <c r="AX61" s="52"/>
      <c r="AY61" s="52"/>
      <c r="AZ61" s="52"/>
      <c r="BA61" s="52"/>
    </row>
    <row r="62" spans="1:53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384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U62" s="52"/>
      <c r="AV62" s="52"/>
      <c r="AW62" s="52"/>
      <c r="AX62" s="52"/>
      <c r="AY62" s="52"/>
      <c r="AZ62" s="52"/>
      <c r="BA62" s="52"/>
    </row>
    <row r="63" spans="1:53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384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U63" s="52"/>
      <c r="AV63" s="52"/>
      <c r="AW63" s="52"/>
      <c r="AX63" s="52"/>
      <c r="AY63" s="52"/>
      <c r="AZ63" s="52"/>
      <c r="BA63" s="52"/>
    </row>
    <row r="64" spans="1:53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384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U64" s="52"/>
      <c r="AV64" s="52"/>
      <c r="AW64" s="52"/>
      <c r="AX64" s="52"/>
      <c r="AY64" s="52"/>
      <c r="AZ64" s="52"/>
      <c r="BA64" s="52"/>
    </row>
    <row r="65" spans="1:53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384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U65" s="52"/>
      <c r="AV65" s="52"/>
      <c r="AW65" s="52"/>
      <c r="AX65" s="52"/>
      <c r="AY65" s="52"/>
      <c r="AZ65" s="52"/>
      <c r="BA65" s="52"/>
    </row>
    <row r="66" spans="1:53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384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U66" s="52"/>
      <c r="AV66" s="52"/>
      <c r="AW66" s="52"/>
      <c r="AX66" s="52"/>
      <c r="AY66" s="52"/>
      <c r="AZ66" s="52"/>
      <c r="BA66" s="52"/>
    </row>
    <row r="67" spans="1:53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384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U67" s="52"/>
      <c r="AV67" s="52"/>
      <c r="AW67" s="52"/>
      <c r="AX67" s="52"/>
      <c r="AY67" s="52"/>
      <c r="AZ67" s="52"/>
      <c r="BA67" s="52"/>
    </row>
    <row r="68" spans="1:53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384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U68" s="52"/>
      <c r="AV68" s="52"/>
      <c r="AW68" s="52"/>
      <c r="AX68" s="52"/>
      <c r="AY68" s="52"/>
      <c r="AZ68" s="52"/>
      <c r="BA68" s="52"/>
    </row>
    <row r="69" spans="1:53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384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U69" s="52"/>
      <c r="AV69" s="52"/>
      <c r="AW69" s="52"/>
      <c r="AX69" s="52"/>
      <c r="AY69" s="52"/>
      <c r="AZ69" s="52"/>
      <c r="BA69" s="52"/>
    </row>
    <row r="70" spans="1:53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384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U70" s="52"/>
      <c r="AV70" s="52"/>
      <c r="AW70" s="52"/>
      <c r="AX70" s="52"/>
      <c r="AY70" s="52"/>
      <c r="AZ70" s="52"/>
      <c r="BA70" s="52"/>
    </row>
    <row r="71" spans="1:53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384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U71" s="52"/>
      <c r="AV71" s="52"/>
      <c r="AW71" s="52"/>
      <c r="AX71" s="52"/>
      <c r="AY71" s="52"/>
      <c r="AZ71" s="52"/>
      <c r="BA71" s="52"/>
    </row>
    <row r="72" spans="1:53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384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U72" s="52"/>
      <c r="AV72" s="52"/>
      <c r="AW72" s="52"/>
      <c r="AX72" s="52"/>
      <c r="AY72" s="52"/>
      <c r="AZ72" s="52"/>
      <c r="BA72" s="52"/>
    </row>
    <row r="73" spans="1:53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384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U73" s="52"/>
      <c r="AV73" s="52"/>
      <c r="AW73" s="52"/>
      <c r="AX73" s="52"/>
      <c r="AY73" s="52"/>
      <c r="AZ73" s="52"/>
      <c r="BA73" s="52"/>
    </row>
    <row r="74" spans="1:53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384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U74" s="52"/>
      <c r="AV74" s="52"/>
      <c r="AW74" s="52"/>
      <c r="AX74" s="52"/>
      <c r="AY74" s="52"/>
      <c r="AZ74" s="52"/>
      <c r="BA74" s="52"/>
    </row>
    <row r="75" spans="1:53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384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U75" s="52"/>
      <c r="AV75" s="52"/>
      <c r="AW75" s="52"/>
      <c r="AX75" s="52"/>
      <c r="AY75" s="52"/>
      <c r="AZ75" s="52"/>
      <c r="BA75" s="52"/>
    </row>
    <row r="76" spans="1:53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384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U76" s="52"/>
      <c r="AV76" s="52"/>
      <c r="AW76" s="52"/>
      <c r="AX76" s="52"/>
      <c r="AY76" s="52"/>
      <c r="AZ76" s="52"/>
      <c r="BA76" s="52"/>
    </row>
    <row r="77" spans="1:53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384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U77" s="52"/>
      <c r="AV77" s="52"/>
      <c r="AW77" s="52"/>
      <c r="AX77" s="52"/>
      <c r="AY77" s="52"/>
      <c r="AZ77" s="52"/>
      <c r="BA77" s="52"/>
    </row>
    <row r="78" spans="1:53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384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U78" s="52"/>
      <c r="AV78" s="52"/>
      <c r="AW78" s="52"/>
      <c r="AX78" s="52"/>
      <c r="AY78" s="52"/>
      <c r="AZ78" s="52"/>
      <c r="BA78" s="52"/>
    </row>
    <row r="79" spans="1:53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384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U79" s="52"/>
      <c r="AV79" s="52"/>
      <c r="AW79" s="52"/>
      <c r="AX79" s="52"/>
      <c r="AY79" s="52"/>
      <c r="AZ79" s="52"/>
      <c r="BA79" s="52"/>
    </row>
    <row r="80" spans="1:53" x14ac:dyDescent="0.2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384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U80" s="52"/>
      <c r="AV80" s="52"/>
      <c r="AW80" s="52"/>
      <c r="AX80" s="52"/>
      <c r="AY80" s="52"/>
      <c r="AZ80" s="52"/>
      <c r="BA80" s="52"/>
    </row>
    <row r="81" spans="1:53" x14ac:dyDescent="0.2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384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U81" s="52"/>
      <c r="AV81" s="52"/>
      <c r="AW81" s="52"/>
      <c r="AX81" s="52"/>
      <c r="AY81" s="52"/>
      <c r="AZ81" s="52"/>
      <c r="BA81" s="52"/>
    </row>
    <row r="82" spans="1:53" x14ac:dyDescent="0.2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384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U82" s="52"/>
      <c r="AV82" s="52"/>
      <c r="AW82" s="52"/>
      <c r="AX82" s="52"/>
      <c r="AY82" s="52"/>
      <c r="AZ82" s="52"/>
      <c r="BA82" s="52"/>
    </row>
    <row r="83" spans="1:53" x14ac:dyDescent="0.2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384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U83" s="52"/>
      <c r="AV83" s="52"/>
      <c r="AW83" s="52"/>
      <c r="AX83" s="52"/>
      <c r="AY83" s="52"/>
      <c r="AZ83" s="52"/>
      <c r="BA83" s="52"/>
    </row>
    <row r="84" spans="1:53" x14ac:dyDescent="0.2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384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U84" s="52"/>
      <c r="AV84" s="52"/>
      <c r="AW84" s="52"/>
      <c r="AX84" s="52"/>
      <c r="AY84" s="52"/>
      <c r="AZ84" s="52"/>
      <c r="BA84" s="52"/>
    </row>
    <row r="85" spans="1:53" x14ac:dyDescent="0.2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384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U85" s="52"/>
      <c r="AV85" s="52"/>
      <c r="AW85" s="52"/>
      <c r="AX85" s="52"/>
      <c r="AY85" s="52"/>
      <c r="AZ85" s="52"/>
      <c r="BA85" s="52"/>
    </row>
    <row r="86" spans="1:53" x14ac:dyDescent="0.2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384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U86" s="52"/>
      <c r="AV86" s="52"/>
      <c r="AW86" s="52"/>
      <c r="AX86" s="52"/>
      <c r="AY86" s="52"/>
      <c r="AZ86" s="52"/>
      <c r="BA86" s="52"/>
    </row>
    <row r="87" spans="1:53" x14ac:dyDescent="0.2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384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U87" s="52"/>
      <c r="AV87" s="52"/>
      <c r="AW87" s="52"/>
      <c r="AX87" s="52"/>
      <c r="AY87" s="52"/>
      <c r="AZ87" s="52"/>
      <c r="BA87" s="52"/>
    </row>
    <row r="88" spans="1:53" x14ac:dyDescent="0.2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384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U88" s="52"/>
      <c r="AV88" s="52"/>
      <c r="AW88" s="52"/>
      <c r="AX88" s="52"/>
      <c r="AY88" s="52"/>
      <c r="AZ88" s="52"/>
      <c r="BA88" s="52"/>
    </row>
    <row r="89" spans="1:53" x14ac:dyDescent="0.2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384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U89" s="52"/>
      <c r="AV89" s="52"/>
      <c r="AW89" s="52"/>
      <c r="AX89" s="52"/>
      <c r="AY89" s="52"/>
      <c r="AZ89" s="52"/>
      <c r="BA89" s="52"/>
    </row>
  </sheetData>
  <sheetProtection sheet="1" scenarios="1" formatCells="0" formatColumns="0" formatRows="0" insertHyperlinks="0" sort="0" autoFilter="0" pivotTables="0"/>
  <sortState ref="A26:XEU27">
    <sortCondition ref="AG26"/>
  </sortState>
  <dataConsolidate/>
  <mergeCells count="18">
    <mergeCell ref="AM11:AM12"/>
    <mergeCell ref="AL11:AL12"/>
    <mergeCell ref="AO11:AO12"/>
    <mergeCell ref="AP11:AP12"/>
    <mergeCell ref="AF11:AF12"/>
    <mergeCell ref="AN11:AN12"/>
    <mergeCell ref="AK11:AK12"/>
    <mergeCell ref="B2:C2"/>
    <mergeCell ref="B3:C3"/>
    <mergeCell ref="AI11:AI12"/>
    <mergeCell ref="AJ11:AJ12"/>
    <mergeCell ref="E11:E12"/>
    <mergeCell ref="G11:G12"/>
    <mergeCell ref="I11:I12"/>
    <mergeCell ref="J11:J12"/>
    <mergeCell ref="AE11:AE12"/>
    <mergeCell ref="AH11:AH12"/>
    <mergeCell ref="AG11:AG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2"/>
      <c r="Z1" s="712"/>
      <c r="AA1" s="712"/>
      <c r="AB1" s="712"/>
      <c r="AO1" s="712"/>
      <c r="AP1" s="712"/>
      <c r="AQ1" s="712"/>
      <c r="AR1" s="712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BK230"/>
  <sheetViews>
    <sheetView zoomScale="115" zoomScaleNormal="115" workbookViewId="0">
      <selection activeCell="A39" sqref="A39:XFD41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60" width="3.7109375" style="236" customWidth="1"/>
    <col min="61" max="62" width="4.7109375" style="616" customWidth="1"/>
    <col min="63" max="63" width="3.7109375" style="236" hidden="1" customWidth="1"/>
    <col min="64" max="16384" width="4.7109375" style="616"/>
  </cols>
  <sheetData>
    <row r="1" spans="1:63" x14ac:dyDescent="0.25">
      <c r="I1" s="715">
        <f>'Staff Detail'!\cstart+('Labor Gantt'!I7*7)</f>
        <v>43458</v>
      </c>
      <c r="J1" s="715"/>
      <c r="K1" s="715"/>
      <c r="L1" s="715"/>
      <c r="M1" s="715">
        <f>'Staff Detail'!\cstart+('Labor Gantt'!M7*7)</f>
        <v>43486</v>
      </c>
      <c r="N1" s="715"/>
      <c r="O1" s="715"/>
      <c r="P1" s="715"/>
      <c r="Q1" s="715">
        <f>'Staff Detail'!\cstart+('Labor Gantt'!Q7*7)</f>
        <v>43514</v>
      </c>
      <c r="R1" s="715"/>
      <c r="S1" s="715"/>
      <c r="T1" s="715"/>
      <c r="U1" s="715">
        <f>'Staff Detail'!\cstart+('Labor Gantt'!U7*7)</f>
        <v>43542</v>
      </c>
      <c r="V1" s="715"/>
      <c r="W1" s="715"/>
      <c r="X1" s="715"/>
      <c r="Y1" s="615">
        <f>'Staff Detail'!\cstart+('Labor Gantt'!Y7*7)</f>
        <v>43570</v>
      </c>
      <c r="Z1" s="615">
        <f>'Staff Detail'!\cstart+('Labor Gantt'!Z7*7)</f>
        <v>43577</v>
      </c>
      <c r="AA1" s="615">
        <f>'Staff Detail'!\cstart+('Labor Gantt'!AA7*7)</f>
        <v>43584</v>
      </c>
      <c r="AB1" s="615">
        <f>'Staff Detail'!\cstart+('Labor Gantt'!AB7*7)</f>
        <v>43591</v>
      </c>
      <c r="AC1" s="615">
        <f>'Staff Detail'!\cstart+('Labor Gantt'!AC7*7)</f>
        <v>43598</v>
      </c>
      <c r="AD1" s="615">
        <f>'Staff Detail'!\cstart+('Labor Gantt'!AD7*7)</f>
        <v>43605</v>
      </c>
      <c r="AE1" s="615">
        <f>'Staff Detail'!\cstart+('Labor Gantt'!AE7*7)</f>
        <v>43612</v>
      </c>
      <c r="AF1" s="615">
        <f>'Staff Detail'!\cstart+('Labor Gantt'!AF7*7)</f>
        <v>43619</v>
      </c>
      <c r="AG1" s="615">
        <f>'Staff Detail'!\cstart+('Labor Gantt'!AG7*7)</f>
        <v>43626</v>
      </c>
      <c r="AH1" s="615">
        <f>'Staff Detail'!\cstart+('Labor Gantt'!AH7*7)</f>
        <v>43633</v>
      </c>
      <c r="AI1" s="615">
        <f>'Staff Detail'!\cstart+('Labor Gantt'!AI7*7)</f>
        <v>43640</v>
      </c>
      <c r="AJ1" s="615">
        <f>'Staff Detail'!\cstart+('Labor Gantt'!AJ7*7)</f>
        <v>43647</v>
      </c>
      <c r="AK1" s="615">
        <f>'Staff Detail'!\cstart+('Labor Gantt'!AK7*7)</f>
        <v>43654</v>
      </c>
      <c r="AL1" s="615">
        <f>'Staff Detail'!\cstart+('Labor Gantt'!AL7*7)</f>
        <v>43661</v>
      </c>
      <c r="AM1" s="615">
        <f>'Staff Detail'!\cstart+('Labor Gantt'!AM7*7)</f>
        <v>43668</v>
      </c>
      <c r="AN1" s="615">
        <f>'Staff Detail'!\cstart+('Labor Gantt'!AN7*7)</f>
        <v>43675</v>
      </c>
      <c r="AO1" s="615">
        <f>'Staff Detail'!\cstart+('Labor Gantt'!AO7*7)</f>
        <v>43682</v>
      </c>
      <c r="AP1" s="615">
        <f>'Staff Detail'!\cstart+('Labor Gantt'!AP7*7)</f>
        <v>43689</v>
      </c>
      <c r="AQ1" s="615">
        <f>'Staff Detail'!\cstart+('Labor Gantt'!AQ7*7)</f>
        <v>43696</v>
      </c>
      <c r="AR1" s="615">
        <f>'Staff Detail'!\cstart+('Labor Gantt'!AR7*7)</f>
        <v>43703</v>
      </c>
      <c r="AS1" s="615">
        <f>'Staff Detail'!\cstart+('Labor Gantt'!AS7*7)</f>
        <v>43710</v>
      </c>
      <c r="AT1" s="615">
        <f>'Staff Detail'!\cstart+('Labor Gantt'!AT7*7)</f>
        <v>43717</v>
      </c>
      <c r="AU1" s="615">
        <f>'Staff Detail'!\cstart+('Labor Gantt'!AU7*7)</f>
        <v>43724</v>
      </c>
      <c r="AV1" s="615">
        <f>'Staff Detail'!\cstart+('Labor Gantt'!AV7*7)</f>
        <v>43731</v>
      </c>
      <c r="AW1" s="615">
        <f>'Staff Detail'!\cstart+('Labor Gantt'!AW7*7)</f>
        <v>43738</v>
      </c>
      <c r="AX1" s="615">
        <f>'Staff Detail'!\cstart+('Labor Gantt'!AX7*7)</f>
        <v>43745</v>
      </c>
      <c r="AY1" s="615">
        <f>'Staff Detail'!\cstart+('Labor Gantt'!AY7*7)</f>
        <v>43752</v>
      </c>
      <c r="AZ1" s="615">
        <f>'Staff Detail'!\cstart+('Labor Gantt'!AZ7*7)</f>
        <v>43759</v>
      </c>
      <c r="BA1" s="615">
        <f>'Staff Detail'!\cstart+('Labor Gantt'!BA7*7)</f>
        <v>43766</v>
      </c>
      <c r="BB1" s="615">
        <f>'Staff Detail'!\cstart+('Labor Gantt'!BB7*7)</f>
        <v>43773</v>
      </c>
      <c r="BC1" s="615">
        <f>'Staff Detail'!\cstart+('Labor Gantt'!BC7*7)</f>
        <v>43780</v>
      </c>
      <c r="BD1" s="615">
        <f>'Staff Detail'!\cstart+('Labor Gantt'!BD7*7)</f>
        <v>43787</v>
      </c>
      <c r="BE1" s="615">
        <f>'Staff Detail'!\cstart+('Labor Gantt'!BE7*7)</f>
        <v>43794</v>
      </c>
      <c r="BF1" s="615">
        <f>'Staff Detail'!\cstart+('Labor Gantt'!BF7*7)</f>
        <v>43801</v>
      </c>
      <c r="BG1" s="615">
        <f>'Staff Detail'!\cstart+('Labor Gantt'!BG7*7)</f>
        <v>43808</v>
      </c>
    </row>
    <row r="2" spans="1:63" x14ac:dyDescent="0.25"/>
    <row r="3" spans="1:63" x14ac:dyDescent="0.25"/>
    <row r="4" spans="1:63" x14ac:dyDescent="0.25"/>
    <row r="5" spans="1:63" x14ac:dyDescent="0.25"/>
    <row r="6" spans="1:63" ht="15.75" thickBot="1" x14ac:dyDescent="0.3">
      <c r="I6" s="617"/>
      <c r="AE6" s="618"/>
    </row>
    <row r="7" spans="1:63" ht="15.75" thickBot="1" x14ac:dyDescent="0.3">
      <c r="B7" s="651"/>
      <c r="C7" s="652"/>
      <c r="D7" s="667" t="s">
        <v>958</v>
      </c>
      <c r="E7" s="665" t="s">
        <v>9</v>
      </c>
      <c r="F7" s="665" t="s">
        <v>965</v>
      </c>
      <c r="G7" s="666" t="s">
        <v>964</v>
      </c>
      <c r="H7" s="619"/>
      <c r="I7" s="640">
        <f t="shared" ref="I7:BH7" si="0">H7+1</f>
        <v>1</v>
      </c>
      <c r="J7" s="641">
        <f t="shared" si="0"/>
        <v>2</v>
      </c>
      <c r="K7" s="641">
        <f t="shared" si="0"/>
        <v>3</v>
      </c>
      <c r="L7" s="641">
        <f t="shared" si="0"/>
        <v>4</v>
      </c>
      <c r="M7" s="641">
        <f t="shared" si="0"/>
        <v>5</v>
      </c>
      <c r="N7" s="641">
        <f t="shared" si="0"/>
        <v>6</v>
      </c>
      <c r="O7" s="641">
        <f t="shared" si="0"/>
        <v>7</v>
      </c>
      <c r="P7" s="641">
        <f t="shared" si="0"/>
        <v>8</v>
      </c>
      <c r="Q7" s="641">
        <f t="shared" si="0"/>
        <v>9</v>
      </c>
      <c r="R7" s="641">
        <f t="shared" si="0"/>
        <v>10</v>
      </c>
      <c r="S7" s="641">
        <f t="shared" si="0"/>
        <v>11</v>
      </c>
      <c r="T7" s="641">
        <f t="shared" si="0"/>
        <v>12</v>
      </c>
      <c r="U7" s="641">
        <f t="shared" si="0"/>
        <v>13</v>
      </c>
      <c r="V7" s="641">
        <f t="shared" si="0"/>
        <v>14</v>
      </c>
      <c r="W7" s="641">
        <f t="shared" si="0"/>
        <v>15</v>
      </c>
      <c r="X7" s="641">
        <f t="shared" si="0"/>
        <v>16</v>
      </c>
      <c r="Y7" s="641">
        <f t="shared" si="0"/>
        <v>17</v>
      </c>
      <c r="Z7" s="641">
        <f t="shared" si="0"/>
        <v>18</v>
      </c>
      <c r="AA7" s="641">
        <f t="shared" si="0"/>
        <v>19</v>
      </c>
      <c r="AB7" s="641">
        <f t="shared" si="0"/>
        <v>20</v>
      </c>
      <c r="AC7" s="641">
        <f t="shared" si="0"/>
        <v>21</v>
      </c>
      <c r="AD7" s="641">
        <f t="shared" si="0"/>
        <v>22</v>
      </c>
      <c r="AE7" s="641">
        <f t="shared" si="0"/>
        <v>23</v>
      </c>
      <c r="AF7" s="641">
        <f t="shared" si="0"/>
        <v>24</v>
      </c>
      <c r="AG7" s="641">
        <f t="shared" si="0"/>
        <v>25</v>
      </c>
      <c r="AH7" s="641">
        <f t="shared" si="0"/>
        <v>26</v>
      </c>
      <c r="AI7" s="641">
        <f t="shared" si="0"/>
        <v>27</v>
      </c>
      <c r="AJ7" s="641">
        <f t="shared" si="0"/>
        <v>28</v>
      </c>
      <c r="AK7" s="641">
        <f t="shared" si="0"/>
        <v>29</v>
      </c>
      <c r="AL7" s="641">
        <f t="shared" si="0"/>
        <v>30</v>
      </c>
      <c r="AM7" s="641">
        <f t="shared" si="0"/>
        <v>31</v>
      </c>
      <c r="AN7" s="641">
        <f t="shared" si="0"/>
        <v>32</v>
      </c>
      <c r="AO7" s="641">
        <f t="shared" si="0"/>
        <v>33</v>
      </c>
      <c r="AP7" s="641">
        <f t="shared" si="0"/>
        <v>34</v>
      </c>
      <c r="AQ7" s="641">
        <f t="shared" si="0"/>
        <v>35</v>
      </c>
      <c r="AR7" s="641">
        <f t="shared" si="0"/>
        <v>36</v>
      </c>
      <c r="AS7" s="641">
        <f t="shared" si="0"/>
        <v>37</v>
      </c>
      <c r="AT7" s="641">
        <f t="shared" si="0"/>
        <v>38</v>
      </c>
      <c r="AU7" s="641">
        <f t="shared" si="0"/>
        <v>39</v>
      </c>
      <c r="AV7" s="641">
        <f t="shared" si="0"/>
        <v>40</v>
      </c>
      <c r="AW7" s="641">
        <f t="shared" si="0"/>
        <v>41</v>
      </c>
      <c r="AX7" s="641">
        <f t="shared" si="0"/>
        <v>42</v>
      </c>
      <c r="AY7" s="641">
        <f t="shared" si="0"/>
        <v>43</v>
      </c>
      <c r="AZ7" s="641">
        <f t="shared" si="0"/>
        <v>44</v>
      </c>
      <c r="BA7" s="641">
        <f t="shared" si="0"/>
        <v>45</v>
      </c>
      <c r="BB7" s="641">
        <f t="shared" si="0"/>
        <v>46</v>
      </c>
      <c r="BC7" s="641">
        <f t="shared" si="0"/>
        <v>47</v>
      </c>
      <c r="BD7" s="641">
        <f t="shared" si="0"/>
        <v>48</v>
      </c>
      <c r="BE7" s="641">
        <f t="shared" si="0"/>
        <v>49</v>
      </c>
      <c r="BF7" s="641">
        <f t="shared" si="0"/>
        <v>50</v>
      </c>
      <c r="BG7" s="641">
        <f t="shared" si="0"/>
        <v>51</v>
      </c>
      <c r="BH7" s="641">
        <f t="shared" si="0"/>
        <v>52</v>
      </c>
      <c r="BK7" s="620">
        <f>BJ7+1</f>
        <v>1</v>
      </c>
    </row>
    <row r="8" spans="1:63" ht="15.75" thickBot="1" x14ac:dyDescent="0.3">
      <c r="B8" s="654" t="s">
        <v>963</v>
      </c>
      <c r="C8" s="655"/>
      <c r="D8" s="656"/>
      <c r="E8" s="656"/>
      <c r="F8" s="656"/>
      <c r="G8" s="663"/>
      <c r="H8" s="650"/>
      <c r="I8" s="649"/>
      <c r="J8" s="643"/>
      <c r="K8" s="643"/>
      <c r="L8" s="643"/>
      <c r="M8" s="643"/>
      <c r="N8" s="643"/>
      <c r="O8" s="643"/>
      <c r="P8" s="643"/>
      <c r="Q8" s="643"/>
      <c r="R8" s="643"/>
      <c r="S8" s="643"/>
      <c r="T8" s="643"/>
      <c r="U8" s="643"/>
      <c r="V8" s="643"/>
      <c r="W8" s="643"/>
      <c r="X8" s="643"/>
      <c r="Y8" s="643"/>
      <c r="Z8" s="643"/>
      <c r="AA8" s="643"/>
      <c r="AB8" s="643"/>
      <c r="AC8" s="643"/>
      <c r="AD8" s="643"/>
      <c r="AE8" s="644"/>
      <c r="AF8" s="643"/>
      <c r="AG8" s="643"/>
      <c r="AH8" s="643"/>
      <c r="AI8" s="643"/>
      <c r="AJ8" s="643"/>
      <c r="AK8" s="643"/>
      <c r="AL8" s="643"/>
      <c r="AM8" s="643"/>
      <c r="AN8" s="643"/>
      <c r="AO8" s="643"/>
      <c r="AP8" s="643"/>
      <c r="AQ8" s="643"/>
      <c r="AR8" s="643"/>
      <c r="AS8" s="643"/>
      <c r="AT8" s="643"/>
      <c r="AU8" s="643"/>
      <c r="AV8" s="643"/>
      <c r="AW8" s="643"/>
      <c r="AX8" s="643"/>
      <c r="AY8" s="643"/>
      <c r="AZ8" s="643"/>
      <c r="BA8" s="643"/>
      <c r="BB8" s="643"/>
      <c r="BC8" s="643"/>
      <c r="BD8" s="643"/>
      <c r="BE8" s="643"/>
      <c r="BF8" s="643"/>
      <c r="BG8" s="643"/>
      <c r="BH8" s="643"/>
      <c r="BI8" s="626"/>
      <c r="BK8" s="688"/>
    </row>
    <row r="9" spans="1:63" ht="4.5" customHeight="1" thickBot="1" x14ac:dyDescent="0.3">
      <c r="A9" s="616"/>
      <c r="B9" s="627"/>
      <c r="C9" s="627"/>
      <c r="D9" s="660"/>
      <c r="E9" s="660"/>
      <c r="F9" s="660"/>
      <c r="G9" s="661"/>
      <c r="H9" s="658"/>
      <c r="I9" s="649"/>
      <c r="J9" s="645"/>
      <c r="K9" s="645"/>
      <c r="L9" s="645"/>
      <c r="M9" s="645"/>
      <c r="N9" s="645"/>
      <c r="O9" s="645"/>
      <c r="P9" s="645"/>
      <c r="Q9" s="645"/>
      <c r="R9" s="645"/>
      <c r="S9" s="645"/>
      <c r="T9" s="645"/>
      <c r="U9" s="645"/>
      <c r="V9" s="645"/>
      <c r="W9" s="645"/>
      <c r="X9" s="645"/>
      <c r="Y9" s="645"/>
      <c r="Z9" s="645"/>
      <c r="AA9" s="645"/>
      <c r="AB9" s="645"/>
      <c r="AC9" s="645"/>
      <c r="AD9" s="645"/>
      <c r="AE9" s="646"/>
      <c r="AF9" s="645"/>
      <c r="AG9" s="645"/>
      <c r="AH9" s="645"/>
      <c r="AI9" s="645"/>
      <c r="AJ9" s="645"/>
      <c r="AK9" s="645"/>
      <c r="AL9" s="645"/>
      <c r="AM9" s="645"/>
      <c r="AN9" s="645"/>
      <c r="AO9" s="645"/>
      <c r="AP9" s="645"/>
      <c r="AQ9" s="645"/>
      <c r="AR9" s="645"/>
      <c r="AS9" s="645"/>
      <c r="AT9" s="645"/>
      <c r="AU9" s="645"/>
      <c r="AV9" s="645"/>
      <c r="AW9" s="645"/>
      <c r="AX9" s="645"/>
      <c r="AY9" s="645"/>
      <c r="AZ9" s="645"/>
      <c r="BA9" s="645"/>
      <c r="BB9" s="645"/>
      <c r="BC9" s="645"/>
      <c r="BD9" s="645"/>
      <c r="BE9" s="645"/>
      <c r="BF9" s="645"/>
      <c r="BG9" s="645"/>
      <c r="BH9" s="645"/>
      <c r="BI9" s="626"/>
      <c r="BK9" s="643"/>
    </row>
    <row r="10" spans="1:63" ht="19.5" customHeight="1" thickBot="1" x14ac:dyDescent="0.3">
      <c r="A10" s="616"/>
      <c r="B10" s="635"/>
      <c r="D10" s="668" t="s">
        <v>958</v>
      </c>
      <c r="E10" s="669" t="s">
        <v>9</v>
      </c>
      <c r="F10" s="670" t="s">
        <v>966</v>
      </c>
      <c r="G10" s="659"/>
      <c r="H10" s="658"/>
      <c r="I10" s="657"/>
      <c r="J10" s="645"/>
      <c r="K10" s="645"/>
      <c r="L10" s="645"/>
      <c r="M10" s="645"/>
      <c r="N10" s="645"/>
      <c r="O10" s="645"/>
      <c r="P10" s="645"/>
      <c r="Q10" s="645"/>
      <c r="R10" s="645"/>
      <c r="S10" s="645"/>
      <c r="T10" s="645"/>
      <c r="U10" s="645"/>
      <c r="V10" s="645"/>
      <c r="W10" s="645"/>
      <c r="X10" s="645"/>
      <c r="Y10" s="645"/>
      <c r="Z10" s="645"/>
      <c r="AA10" s="645"/>
      <c r="AB10" s="645"/>
      <c r="AC10" s="645"/>
      <c r="AD10" s="645"/>
      <c r="AE10" s="646"/>
      <c r="AF10" s="645"/>
      <c r="AG10" s="645"/>
      <c r="AH10" s="645"/>
      <c r="AI10" s="645"/>
      <c r="AJ10" s="645"/>
      <c r="AK10" s="645"/>
      <c r="AL10" s="645"/>
      <c r="AM10" s="645"/>
      <c r="AN10" s="645"/>
      <c r="AO10" s="645"/>
      <c r="AP10" s="645"/>
      <c r="AQ10" s="645"/>
      <c r="AR10" s="645"/>
      <c r="AS10" s="645"/>
      <c r="AT10" s="645"/>
      <c r="AU10" s="645"/>
      <c r="AV10" s="645"/>
      <c r="AW10" s="645"/>
      <c r="AX10" s="645"/>
      <c r="AY10" s="645"/>
      <c r="AZ10" s="645"/>
      <c r="BA10" s="645"/>
      <c r="BB10" s="645"/>
      <c r="BC10" s="645"/>
      <c r="BD10" s="645"/>
      <c r="BE10" s="645"/>
      <c r="BF10" s="645"/>
      <c r="BG10" s="645"/>
      <c r="BH10" s="645"/>
      <c r="BI10" s="626"/>
      <c r="BK10" s="643"/>
    </row>
    <row r="11" spans="1:63" x14ac:dyDescent="0.25">
      <c r="B11" s="621" t="str">
        <f>'Staff Detail'!B18</f>
        <v>Construction</v>
      </c>
      <c r="C11" s="622"/>
      <c r="D11" s="623" t="str">
        <f>IFERROR(IF(DATEDIF('Staff Detail'!\cstart,'Staff Detail'!I18,"D")/7 = 0,1,DATEDIF('Staff Detail'!\cstart,'Staff Detail'!I18,"D")/7),"")</f>
        <v/>
      </c>
      <c r="E11" s="624">
        <f>IFERROR(DATEDIF('Staff Detail'!I18,'Staff Detail'!J18,"D")/7,"")</f>
        <v>0</v>
      </c>
      <c r="F11" s="625">
        <f>'Staff Detail'!K18</f>
        <v>0</v>
      </c>
      <c r="G11" s="662"/>
      <c r="H11" s="653"/>
      <c r="I11" s="642"/>
      <c r="J11" s="642"/>
      <c r="K11" s="642"/>
      <c r="L11" s="642"/>
      <c r="M11" s="642"/>
      <c r="N11" s="642"/>
      <c r="O11" s="642"/>
      <c r="P11" s="642"/>
      <c r="Q11" s="642"/>
      <c r="R11" s="642"/>
      <c r="S11" s="642"/>
      <c r="T11" s="642"/>
      <c r="U11" s="642"/>
      <c r="V11" s="642"/>
      <c r="W11" s="642"/>
      <c r="X11" s="642"/>
      <c r="Y11" s="642"/>
      <c r="Z11" s="642"/>
      <c r="AA11" s="642"/>
      <c r="AB11" s="642"/>
      <c r="AC11" s="642"/>
      <c r="AD11" s="642"/>
      <c r="AE11" s="642"/>
      <c r="AF11" s="642"/>
      <c r="AG11" s="642"/>
      <c r="AH11" s="642"/>
      <c r="AI11" s="642"/>
      <c r="AJ11" s="642"/>
      <c r="AK11" s="642"/>
      <c r="AL11" s="642"/>
      <c r="AM11" s="642"/>
      <c r="AN11" s="642"/>
      <c r="AO11" s="642"/>
      <c r="AP11" s="642"/>
      <c r="AQ11" s="642"/>
      <c r="AR11" s="642"/>
      <c r="AS11" s="642"/>
      <c r="AT11" s="642"/>
      <c r="AU11" s="642"/>
      <c r="AV11" s="642"/>
      <c r="AW11" s="642"/>
      <c r="AX11" s="642"/>
      <c r="AY11" s="642"/>
      <c r="AZ11" s="642"/>
      <c r="BA11" s="642"/>
      <c r="BB11" s="642"/>
      <c r="BC11" s="642"/>
      <c r="BD11" s="642"/>
      <c r="BE11" s="642"/>
      <c r="BF11" s="642"/>
      <c r="BG11" s="642"/>
      <c r="BH11" s="642"/>
      <c r="BI11" s="626"/>
      <c r="BK11" s="642"/>
    </row>
    <row r="12" spans="1:63" x14ac:dyDescent="0.25">
      <c r="A12" s="630"/>
      <c r="B12" s="631" t="str">
        <f>'Staff Detail'!B19</f>
        <v>Safety Manager 2</v>
      </c>
      <c r="C12" s="632"/>
      <c r="D12" s="633">
        <f>IFERROR(IF(DATEDIF('Staff Detail'!\cstart,'Staff Detail'!I19,"D")/7 = 0,1,DATEDIF('Staff Detail'!\cstart,'Staff Detail'!I19,"D")/7),"")</f>
        <v>1</v>
      </c>
      <c r="E12" s="634">
        <f>IFERROR(DATEDIF('Staff Detail'!I19,'Staff Detail'!J19,"D")/7,"")</f>
        <v>52.142857142857146</v>
      </c>
      <c r="F12" s="664">
        <f>'Staff Detail'!K19</f>
        <v>9.9999999999999992E-2</v>
      </c>
      <c r="G12" s="686"/>
      <c r="H12" s="630"/>
      <c r="I12" s="635"/>
      <c r="J12" s="635"/>
      <c r="K12" s="635"/>
      <c r="L12" s="635"/>
      <c r="M12" s="635"/>
      <c r="N12" s="635"/>
      <c r="O12" s="635"/>
      <c r="P12" s="635"/>
      <c r="Q12" s="635"/>
      <c r="R12" s="635"/>
      <c r="S12" s="635"/>
      <c r="T12" s="635"/>
      <c r="U12" s="635"/>
      <c r="V12" s="635"/>
      <c r="W12" s="635"/>
      <c r="X12" s="635"/>
      <c r="Y12" s="635"/>
      <c r="Z12" s="635"/>
      <c r="AA12" s="635"/>
      <c r="AB12" s="635"/>
      <c r="AC12" s="635"/>
      <c r="AD12" s="635"/>
      <c r="AE12" s="635"/>
      <c r="AF12" s="635"/>
      <c r="AG12" s="635"/>
      <c r="AH12" s="635"/>
      <c r="AI12" s="635"/>
      <c r="AJ12" s="635"/>
      <c r="AK12" s="635"/>
      <c r="AL12" s="635"/>
      <c r="AM12" s="635"/>
      <c r="AN12" s="635"/>
      <c r="AO12" s="635"/>
      <c r="AP12" s="635"/>
      <c r="AQ12" s="635"/>
      <c r="AR12" s="635"/>
      <c r="AS12" s="635"/>
      <c r="AT12" s="635"/>
      <c r="AU12" s="635"/>
      <c r="AV12" s="635"/>
      <c r="AW12" s="635"/>
      <c r="AX12" s="635"/>
      <c r="AY12" s="635"/>
      <c r="AZ12" s="635"/>
      <c r="BA12" s="635"/>
      <c r="BB12" s="635"/>
      <c r="BC12" s="635"/>
      <c r="BD12" s="635"/>
      <c r="BE12" s="635"/>
      <c r="BF12" s="635"/>
      <c r="BG12" s="635"/>
      <c r="BH12" s="635"/>
      <c r="BI12" s="626"/>
      <c r="BK12" s="635"/>
    </row>
    <row r="13" spans="1:63" x14ac:dyDescent="0.25">
      <c r="A13" s="630"/>
      <c r="B13" s="631" t="str">
        <f>'Staff Detail'!B20</f>
        <v>Safety Manager 1</v>
      </c>
      <c r="C13" s="632"/>
      <c r="D13" s="633" t="str">
        <f>IFERROR(IF(DATEDIF('Staff Detail'!\cstart,'Staff Detail'!I20,"D")/7 = 0,1,DATEDIF('Staff Detail'!\cstart,'Staff Detail'!I20,"D")/7),"")</f>
        <v/>
      </c>
      <c r="E13" s="634">
        <f>IFERROR(DATEDIF('Staff Detail'!I20,'Staff Detail'!J20,"D")/7,"")</f>
        <v>52.142857142857146</v>
      </c>
      <c r="F13" s="664">
        <f>'Staff Detail'!K20</f>
        <v>0.5</v>
      </c>
      <c r="G13" s="686"/>
      <c r="H13" s="630"/>
      <c r="I13" s="635"/>
      <c r="J13" s="635"/>
      <c r="K13" s="635"/>
      <c r="L13" s="635"/>
      <c r="M13" s="635"/>
      <c r="N13" s="635"/>
      <c r="O13" s="635"/>
      <c r="P13" s="635"/>
      <c r="Q13" s="635"/>
      <c r="R13" s="635"/>
      <c r="S13" s="635"/>
      <c r="T13" s="635"/>
      <c r="U13" s="635"/>
      <c r="V13" s="635"/>
      <c r="W13" s="635"/>
      <c r="X13" s="635"/>
      <c r="Y13" s="635"/>
      <c r="Z13" s="635"/>
      <c r="AA13" s="635"/>
      <c r="AB13" s="635"/>
      <c r="AC13" s="635"/>
      <c r="AD13" s="635"/>
      <c r="AE13" s="635"/>
      <c r="AF13" s="635"/>
      <c r="AG13" s="635"/>
      <c r="AH13" s="635"/>
      <c r="AI13" s="635"/>
      <c r="AJ13" s="635"/>
      <c r="AK13" s="635"/>
      <c r="AL13" s="635"/>
      <c r="AM13" s="635"/>
      <c r="AN13" s="635"/>
      <c r="AO13" s="635"/>
      <c r="AP13" s="635"/>
      <c r="AQ13" s="635"/>
      <c r="AR13" s="635"/>
      <c r="AS13" s="635"/>
      <c r="AT13" s="635"/>
      <c r="AU13" s="635"/>
      <c r="AV13" s="635"/>
      <c r="AW13" s="635"/>
      <c r="AX13" s="635"/>
      <c r="AY13" s="635"/>
      <c r="AZ13" s="635"/>
      <c r="BA13" s="635"/>
      <c r="BB13" s="635"/>
      <c r="BC13" s="635"/>
      <c r="BD13" s="635"/>
      <c r="BE13" s="635"/>
      <c r="BF13" s="635"/>
      <c r="BG13" s="635"/>
      <c r="BH13" s="635"/>
      <c r="BI13" s="626"/>
      <c r="BK13" s="635"/>
    </row>
    <row r="14" spans="1:63" x14ac:dyDescent="0.25">
      <c r="A14" s="639"/>
      <c r="B14" s="636" t="str">
        <f>'Staff Detail'!B21</f>
        <v>New Phase:</v>
      </c>
      <c r="C14" s="637"/>
      <c r="D14" s="647" t="e">
        <f>IF(DATEDIF('Staff Detail'!\cstart,'Staff Detail'!I21,"D")/7 = 0,1,DATEDIF('Staff Detail'!\cstart,'Staff Detail'!I21,"D")/7)</f>
        <v>#VALUE!</v>
      </c>
      <c r="E14" s="648" t="e">
        <f>DATEDIF('Staff Detail'!I21,'Staff Detail'!J21,"D")/7</f>
        <v>#VALUE!</v>
      </c>
      <c r="F14" s="684">
        <f>'Staff Detail'!K21</f>
        <v>0</v>
      </c>
      <c r="G14" s="687"/>
      <c r="H14" s="685"/>
      <c r="I14" s="635"/>
      <c r="J14" s="635"/>
      <c r="K14" s="635"/>
      <c r="L14" s="635"/>
      <c r="M14" s="635"/>
      <c r="N14" s="635"/>
      <c r="O14" s="635"/>
      <c r="P14" s="635"/>
      <c r="Q14" s="635"/>
      <c r="R14" s="635"/>
      <c r="S14" s="635"/>
      <c r="T14" s="635"/>
      <c r="U14" s="635"/>
      <c r="V14" s="635"/>
      <c r="W14" s="635"/>
      <c r="X14" s="635"/>
      <c r="Y14" s="635"/>
      <c r="Z14" s="635"/>
      <c r="AA14" s="635"/>
      <c r="AB14" s="635"/>
      <c r="AC14" s="635"/>
      <c r="AD14" s="635"/>
      <c r="AE14" s="635"/>
      <c r="AF14" s="635"/>
      <c r="AG14" s="635"/>
      <c r="AH14" s="635"/>
      <c r="AI14" s="635"/>
      <c r="AJ14" s="635"/>
      <c r="AK14" s="635"/>
      <c r="AL14" s="635"/>
      <c r="AM14" s="635"/>
      <c r="AN14" s="635"/>
      <c r="AO14" s="635"/>
      <c r="AP14" s="635"/>
      <c r="AQ14" s="635"/>
      <c r="AR14" s="635"/>
      <c r="AS14" s="635"/>
      <c r="AT14" s="635"/>
      <c r="AU14" s="635"/>
      <c r="AV14" s="635"/>
      <c r="AW14" s="635"/>
      <c r="AX14" s="635"/>
      <c r="AY14" s="635"/>
      <c r="AZ14" s="635"/>
      <c r="BA14" s="635"/>
      <c r="BB14" s="635"/>
      <c r="BC14" s="635"/>
      <c r="BD14" s="635"/>
      <c r="BE14" s="635"/>
      <c r="BF14" s="635"/>
      <c r="BG14" s="635"/>
      <c r="BH14" s="635"/>
      <c r="BI14" s="626"/>
      <c r="BK14" s="635"/>
    </row>
    <row r="15" spans="1:63" x14ac:dyDescent="0.25">
      <c r="A15" s="630"/>
      <c r="B15" s="631" t="str">
        <f>'Staff Detail'!B22</f>
        <v>General Superintendent</v>
      </c>
      <c r="C15" s="632"/>
      <c r="D15" s="633" t="str">
        <f>IFERROR(IF(DATEDIF('Staff Detail'!\cstart,'Staff Detail'!I22,"D")/7 = 0,1,DATEDIF('Staff Detail'!\cstart,'Staff Detail'!I22,"D")/7),"")</f>
        <v/>
      </c>
      <c r="E15" s="634" t="str">
        <f>IFERROR(DATEDIF('Staff Detail'!I22,'Staff Detail'!J22,"D")/7,"")</f>
        <v/>
      </c>
      <c r="F15" s="664">
        <f>'Staff Detail'!K22</f>
        <v>0</v>
      </c>
      <c r="G15" s="686"/>
      <c r="H15" s="630"/>
      <c r="I15" s="635"/>
      <c r="J15" s="635"/>
      <c r="K15" s="635"/>
      <c r="L15" s="635"/>
      <c r="M15" s="635"/>
      <c r="N15" s="635"/>
      <c r="O15" s="635"/>
      <c r="P15" s="635"/>
      <c r="Q15" s="635"/>
      <c r="R15" s="635"/>
      <c r="S15" s="635"/>
      <c r="T15" s="635"/>
      <c r="U15" s="635"/>
      <c r="V15" s="635"/>
      <c r="W15" s="635"/>
      <c r="X15" s="635"/>
      <c r="Y15" s="635"/>
      <c r="Z15" s="635"/>
      <c r="AA15" s="635"/>
      <c r="AB15" s="635"/>
      <c r="AC15" s="635"/>
      <c r="AD15" s="635"/>
      <c r="AE15" s="635"/>
      <c r="AF15" s="635"/>
      <c r="AG15" s="635"/>
      <c r="AH15" s="635"/>
      <c r="AI15" s="635"/>
      <c r="AJ15" s="635"/>
      <c r="AK15" s="635"/>
      <c r="AL15" s="635"/>
      <c r="AM15" s="635"/>
      <c r="AN15" s="635"/>
      <c r="AO15" s="635"/>
      <c r="AP15" s="635"/>
      <c r="AQ15" s="635"/>
      <c r="AR15" s="635"/>
      <c r="AS15" s="635"/>
      <c r="AT15" s="635"/>
      <c r="AU15" s="635"/>
      <c r="AV15" s="635"/>
      <c r="AW15" s="635"/>
      <c r="AX15" s="635"/>
      <c r="AY15" s="635"/>
      <c r="AZ15" s="635"/>
      <c r="BA15" s="635"/>
      <c r="BB15" s="635"/>
      <c r="BC15" s="635"/>
      <c r="BD15" s="635"/>
      <c r="BE15" s="635"/>
      <c r="BF15" s="635"/>
      <c r="BG15" s="635"/>
      <c r="BH15" s="635"/>
      <c r="BI15" s="626"/>
      <c r="BK15" s="635"/>
    </row>
    <row r="16" spans="1:63" x14ac:dyDescent="0.25">
      <c r="A16" s="630"/>
      <c r="B16" s="631" t="str">
        <f>'Staff Detail'!B23</f>
        <v xml:space="preserve">Sr. Superintendent 1 </v>
      </c>
      <c r="C16" s="632"/>
      <c r="D16" s="633" t="str">
        <f>IFERROR(IF(DATEDIF('Staff Detail'!\cstart,'Staff Detail'!I23,"D")/7 = 0,1,DATEDIF('Staff Detail'!\cstart,'Staff Detail'!I23,"D")/7),"")</f>
        <v/>
      </c>
      <c r="E16" s="634" t="str">
        <f>IFERROR(DATEDIF('Staff Detail'!I23,'Staff Detail'!J23,"D")/7,"")</f>
        <v/>
      </c>
      <c r="F16" s="664">
        <f>'Staff Detail'!K23</f>
        <v>0</v>
      </c>
      <c r="G16" s="686"/>
      <c r="H16" s="630"/>
      <c r="I16" s="635"/>
      <c r="J16" s="635"/>
      <c r="K16" s="635"/>
      <c r="L16" s="635"/>
      <c r="M16" s="635"/>
      <c r="N16" s="635"/>
      <c r="O16" s="635"/>
      <c r="P16" s="635"/>
      <c r="Q16" s="635"/>
      <c r="R16" s="635"/>
      <c r="S16" s="635"/>
      <c r="T16" s="635"/>
      <c r="U16" s="635"/>
      <c r="V16" s="635"/>
      <c r="W16" s="635"/>
      <c r="X16" s="635"/>
      <c r="Y16" s="635"/>
      <c r="Z16" s="635"/>
      <c r="AA16" s="635"/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5"/>
      <c r="AR16" s="635"/>
      <c r="AS16" s="635"/>
      <c r="AT16" s="635"/>
      <c r="AU16" s="635"/>
      <c r="AV16" s="635"/>
      <c r="AW16" s="635"/>
      <c r="AX16" s="635"/>
      <c r="AY16" s="635"/>
      <c r="AZ16" s="635"/>
      <c r="BA16" s="635"/>
      <c r="BB16" s="635"/>
      <c r="BC16" s="635"/>
      <c r="BD16" s="635"/>
      <c r="BE16" s="635"/>
      <c r="BF16" s="635"/>
      <c r="BG16" s="635"/>
      <c r="BH16" s="635"/>
      <c r="BI16" s="626"/>
      <c r="BK16" s="635"/>
    </row>
    <row r="17" spans="1:63" x14ac:dyDescent="0.25">
      <c r="A17" s="630"/>
      <c r="B17" s="631" t="str">
        <f>'Staff Detail'!B24</f>
        <v>Superintendent 2</v>
      </c>
      <c r="C17" s="632"/>
      <c r="D17" s="633" t="str">
        <f>IFERROR(IF(DATEDIF('Staff Detail'!\cstart,'Staff Detail'!I24,"D")/7 = 0,1,DATEDIF('Staff Detail'!\cstart,'Staff Detail'!I24,"D")/7),"")</f>
        <v/>
      </c>
      <c r="E17" s="634" t="str">
        <f>IFERROR(DATEDIF('Staff Detail'!I24,'Staff Detail'!J24,"D")/7,"")</f>
        <v/>
      </c>
      <c r="F17" s="664">
        <f>'Staff Detail'!K24</f>
        <v>0</v>
      </c>
      <c r="G17" s="686"/>
      <c r="H17" s="630"/>
      <c r="I17" s="635"/>
      <c r="J17" s="635"/>
      <c r="K17" s="635"/>
      <c r="L17" s="635"/>
      <c r="M17" s="635"/>
      <c r="N17" s="635"/>
      <c r="O17" s="635"/>
      <c r="P17" s="635"/>
      <c r="Q17" s="635"/>
      <c r="R17" s="635"/>
      <c r="S17" s="635"/>
      <c r="T17" s="635"/>
      <c r="U17" s="635"/>
      <c r="V17" s="635"/>
      <c r="W17" s="635"/>
      <c r="X17" s="635"/>
      <c r="Y17" s="635"/>
      <c r="Z17" s="635"/>
      <c r="AA17" s="635"/>
      <c r="AB17" s="635"/>
      <c r="AC17" s="635"/>
      <c r="AD17" s="635"/>
      <c r="AE17" s="635"/>
      <c r="AF17" s="635"/>
      <c r="AG17" s="635"/>
      <c r="AH17" s="635"/>
      <c r="AI17" s="635"/>
      <c r="AJ17" s="635"/>
      <c r="AK17" s="635"/>
      <c r="AL17" s="635"/>
      <c r="AM17" s="635"/>
      <c r="AN17" s="635"/>
      <c r="AO17" s="635"/>
      <c r="AP17" s="635"/>
      <c r="AQ17" s="635"/>
      <c r="AR17" s="635"/>
      <c r="AS17" s="635"/>
      <c r="AT17" s="635"/>
      <c r="AU17" s="635"/>
      <c r="AV17" s="635"/>
      <c r="AW17" s="635"/>
      <c r="AX17" s="635"/>
      <c r="AY17" s="635"/>
      <c r="AZ17" s="635"/>
      <c r="BA17" s="635"/>
      <c r="BB17" s="635"/>
      <c r="BC17" s="635"/>
      <c r="BD17" s="635"/>
      <c r="BE17" s="635"/>
      <c r="BF17" s="635"/>
      <c r="BG17" s="635"/>
      <c r="BH17" s="635"/>
      <c r="BI17" s="626"/>
      <c r="BK17" s="635"/>
    </row>
    <row r="18" spans="1:63" x14ac:dyDescent="0.25">
      <c r="A18" s="639"/>
      <c r="B18" s="636" t="str">
        <f>'Staff Detail'!B25</f>
        <v>New Phase:</v>
      </c>
      <c r="C18" s="637"/>
      <c r="D18" s="647" t="e">
        <f>IF(DATEDIF('Staff Detail'!\cstart,'Staff Detail'!I25,"D")/7 = 0,1,DATEDIF('Staff Detail'!\cstart,'Staff Detail'!I25,"D")/7)</f>
        <v>#VALUE!</v>
      </c>
      <c r="E18" s="648" t="e">
        <f>DATEDIF('Staff Detail'!I25,'Staff Detail'!J25,"D")/7</f>
        <v>#VALUE!</v>
      </c>
      <c r="F18" s="684">
        <f>'Staff Detail'!K25</f>
        <v>0</v>
      </c>
      <c r="G18" s="687"/>
      <c r="H18" s="685"/>
      <c r="I18" s="635"/>
      <c r="J18" s="635"/>
      <c r="K18" s="635"/>
      <c r="L18" s="635"/>
      <c r="M18" s="635"/>
      <c r="N18" s="635"/>
      <c r="O18" s="635"/>
      <c r="P18" s="635"/>
      <c r="Q18" s="635"/>
      <c r="R18" s="635"/>
      <c r="S18" s="635"/>
      <c r="T18" s="635"/>
      <c r="U18" s="635"/>
      <c r="V18" s="635"/>
      <c r="W18" s="635"/>
      <c r="X18" s="635"/>
      <c r="Y18" s="635"/>
      <c r="Z18" s="635"/>
      <c r="AA18" s="635"/>
      <c r="AB18" s="635"/>
      <c r="AC18" s="635"/>
      <c r="AD18" s="635"/>
      <c r="AE18" s="635"/>
      <c r="AF18" s="635"/>
      <c r="AG18" s="635"/>
      <c r="AH18" s="635"/>
      <c r="AI18" s="635"/>
      <c r="AJ18" s="635"/>
      <c r="AK18" s="635"/>
      <c r="AL18" s="635"/>
      <c r="AM18" s="635"/>
      <c r="AN18" s="635"/>
      <c r="AO18" s="635"/>
      <c r="AP18" s="635"/>
      <c r="AQ18" s="635"/>
      <c r="AR18" s="635"/>
      <c r="AS18" s="635"/>
      <c r="AT18" s="635"/>
      <c r="AU18" s="635"/>
      <c r="AV18" s="635"/>
      <c r="AW18" s="635"/>
      <c r="AX18" s="635"/>
      <c r="AY18" s="635"/>
      <c r="AZ18" s="635"/>
      <c r="BA18" s="635"/>
      <c r="BB18" s="635"/>
      <c r="BC18" s="635"/>
      <c r="BD18" s="635"/>
      <c r="BE18" s="635"/>
      <c r="BF18" s="635"/>
      <c r="BG18" s="635"/>
      <c r="BH18" s="635"/>
      <c r="BI18" s="626"/>
      <c r="BK18" s="635"/>
    </row>
    <row r="19" spans="1:63" x14ac:dyDescent="0.25">
      <c r="A19" s="630"/>
      <c r="B19" s="631" t="str">
        <f>'Staff Detail'!B26</f>
        <v xml:space="preserve">Project Executive 2 </v>
      </c>
      <c r="C19" s="632"/>
      <c r="D19" s="633" t="str">
        <f>IFERROR(IF(DATEDIF('Staff Detail'!\cstart,'Staff Detail'!I26,"D")/7 = 0,1,DATEDIF('Staff Detail'!\cstart,'Staff Detail'!I26,"D")/7),"")</f>
        <v/>
      </c>
      <c r="E19" s="634" t="str">
        <f>IFERROR(DATEDIF('Staff Detail'!I26,'Staff Detail'!J26,"D")/7,"")</f>
        <v/>
      </c>
      <c r="F19" s="664">
        <f>'Staff Detail'!K26</f>
        <v>0</v>
      </c>
      <c r="G19" s="686"/>
      <c r="H19" s="630"/>
      <c r="I19" s="635"/>
      <c r="J19" s="635"/>
      <c r="K19" s="635"/>
      <c r="L19" s="635"/>
      <c r="M19" s="635"/>
      <c r="N19" s="635"/>
      <c r="O19" s="635"/>
      <c r="P19" s="635"/>
      <c r="Q19" s="635"/>
      <c r="R19" s="635"/>
      <c r="S19" s="635"/>
      <c r="T19" s="635"/>
      <c r="U19" s="635"/>
      <c r="V19" s="635"/>
      <c r="W19" s="635"/>
      <c r="X19" s="635"/>
      <c r="Y19" s="635"/>
      <c r="Z19" s="635"/>
      <c r="AA19" s="635"/>
      <c r="AB19" s="635"/>
      <c r="AC19" s="635"/>
      <c r="AD19" s="635"/>
      <c r="AE19" s="635"/>
      <c r="AF19" s="635"/>
      <c r="AG19" s="635"/>
      <c r="AH19" s="635"/>
      <c r="AI19" s="635"/>
      <c r="AJ19" s="635"/>
      <c r="AK19" s="635"/>
      <c r="AL19" s="635"/>
      <c r="AM19" s="635"/>
      <c r="AN19" s="635"/>
      <c r="AO19" s="635"/>
      <c r="AP19" s="635"/>
      <c r="AQ19" s="635"/>
      <c r="AR19" s="635"/>
      <c r="AS19" s="635"/>
      <c r="AT19" s="635"/>
      <c r="AU19" s="635"/>
      <c r="AV19" s="635"/>
      <c r="AW19" s="635"/>
      <c r="AX19" s="635"/>
      <c r="AY19" s="635"/>
      <c r="AZ19" s="635"/>
      <c r="BA19" s="635"/>
      <c r="BB19" s="635"/>
      <c r="BC19" s="635"/>
      <c r="BD19" s="635"/>
      <c r="BE19" s="635"/>
      <c r="BF19" s="635"/>
      <c r="BG19" s="635"/>
      <c r="BH19" s="635"/>
      <c r="BI19" s="626"/>
      <c r="BK19" s="635"/>
    </row>
    <row r="20" spans="1:63" ht="15.75" thickBot="1" x14ac:dyDescent="0.3">
      <c r="A20" s="630"/>
      <c r="B20" s="631" t="str">
        <f>'Staff Detail'!B27</f>
        <v xml:space="preserve">Project Manager 1 </v>
      </c>
      <c r="C20" s="632"/>
      <c r="D20" s="633" t="str">
        <f>IFERROR(IF(DATEDIF('Staff Detail'!\cstart,'Staff Detail'!I27,"D")/7 = 0,1,DATEDIF('Staff Detail'!\cstart,'Staff Detail'!I27,"D")/7),"")</f>
        <v/>
      </c>
      <c r="E20" s="634" t="str">
        <f>IFERROR(DATEDIF('Staff Detail'!I27,'Staff Detail'!J27,"D")/7,"")</f>
        <v/>
      </c>
      <c r="F20" s="664">
        <f>'Staff Detail'!K27</f>
        <v>0</v>
      </c>
      <c r="G20" s="686"/>
      <c r="H20" s="630"/>
      <c r="I20" s="635"/>
      <c r="J20" s="635"/>
      <c r="K20" s="635"/>
      <c r="L20" s="635"/>
      <c r="M20" s="635"/>
      <c r="N20" s="635"/>
      <c r="O20" s="635"/>
      <c r="P20" s="635"/>
      <c r="Q20" s="635"/>
      <c r="R20" s="635"/>
      <c r="S20" s="635"/>
      <c r="T20" s="635"/>
      <c r="U20" s="635"/>
      <c r="V20" s="635"/>
      <c r="W20" s="635"/>
      <c r="X20" s="635"/>
      <c r="Y20" s="635"/>
      <c r="Z20" s="635"/>
      <c r="AA20" s="635"/>
      <c r="AB20" s="635"/>
      <c r="AC20" s="635"/>
      <c r="AD20" s="635"/>
      <c r="AE20" s="635"/>
      <c r="AF20" s="635"/>
      <c r="AG20" s="635"/>
      <c r="AH20" s="635"/>
      <c r="AI20" s="635"/>
      <c r="AJ20" s="635"/>
      <c r="AK20" s="635"/>
      <c r="AL20" s="635"/>
      <c r="AM20" s="635"/>
      <c r="AN20" s="635"/>
      <c r="AO20" s="635"/>
      <c r="AP20" s="635"/>
      <c r="AQ20" s="635"/>
      <c r="AR20" s="635"/>
      <c r="AS20" s="635"/>
      <c r="AT20" s="635"/>
      <c r="AU20" s="635"/>
      <c r="AV20" s="635"/>
      <c r="AW20" s="635"/>
      <c r="AX20" s="635"/>
      <c r="AY20" s="635"/>
      <c r="AZ20" s="635"/>
      <c r="BA20" s="635"/>
      <c r="BB20" s="635"/>
      <c r="BC20" s="635"/>
      <c r="BD20" s="635"/>
      <c r="BE20" s="635"/>
      <c r="BF20" s="635"/>
      <c r="BG20" s="635"/>
      <c r="BH20" s="635"/>
      <c r="BI20" s="626"/>
      <c r="BK20" s="635"/>
    </row>
    <row r="21" spans="1:63" x14ac:dyDescent="0.25">
      <c r="B21" s="627"/>
      <c r="C21" s="627"/>
      <c r="D21" s="627"/>
      <c r="E21" s="627"/>
      <c r="F21" s="627"/>
      <c r="G21" s="616"/>
      <c r="I21" s="622"/>
      <c r="J21" s="627"/>
      <c r="K21" s="627"/>
      <c r="L21" s="627"/>
      <c r="M21" s="627"/>
      <c r="N21" s="627"/>
      <c r="O21" s="627"/>
      <c r="P21" s="627"/>
      <c r="Q21" s="627"/>
      <c r="R21" s="627"/>
      <c r="S21" s="627"/>
      <c r="T21" s="627"/>
      <c r="U21" s="627"/>
      <c r="V21" s="627"/>
      <c r="W21" s="627"/>
      <c r="X21" s="627"/>
      <c r="Y21" s="627"/>
      <c r="Z21" s="627"/>
      <c r="AA21" s="627"/>
      <c r="AB21" s="627"/>
      <c r="AC21" s="627"/>
      <c r="AD21" s="627"/>
      <c r="AE21" s="627"/>
      <c r="AF21" s="627"/>
      <c r="AG21" s="627"/>
      <c r="AH21" s="627"/>
      <c r="AI21" s="627"/>
      <c r="AJ21" s="627"/>
      <c r="AK21" s="627"/>
      <c r="AL21" s="627"/>
      <c r="AM21" s="627"/>
      <c r="AN21" s="627"/>
      <c r="AO21" s="627"/>
      <c r="AP21" s="627"/>
      <c r="AQ21" s="627"/>
      <c r="AR21" s="627"/>
      <c r="AS21" s="627"/>
      <c r="AT21" s="627"/>
      <c r="AU21" s="627"/>
      <c r="AV21" s="627"/>
      <c r="AW21" s="627"/>
      <c r="AX21" s="627"/>
      <c r="AY21" s="627"/>
      <c r="AZ21" s="627"/>
      <c r="BA21" s="627"/>
      <c r="BB21" s="627"/>
      <c r="BC21" s="627"/>
      <c r="BD21" s="627"/>
      <c r="BE21" s="627"/>
      <c r="BF21" s="627"/>
      <c r="BG21" s="627"/>
      <c r="BH21" s="627"/>
      <c r="BK21" s="627"/>
    </row>
    <row r="22" spans="1:63" x14ac:dyDescent="0.25"/>
    <row r="23" spans="1:63" x14ac:dyDescent="0.25"/>
    <row r="24" spans="1:63" x14ac:dyDescent="0.25"/>
    <row r="25" spans="1:63" x14ac:dyDescent="0.25">
      <c r="D25" s="628"/>
    </row>
    <row r="26" spans="1:63" x14ac:dyDescent="0.25">
      <c r="D26" s="629"/>
    </row>
    <row r="27" spans="1:63" x14ac:dyDescent="0.25"/>
    <row r="28" spans="1:63" x14ac:dyDescent="0.25"/>
    <row r="29" spans="1:63" x14ac:dyDescent="0.25"/>
    <row r="30" spans="1:63" x14ac:dyDescent="0.25"/>
    <row r="31" spans="1:63" x14ac:dyDescent="0.25"/>
    <row r="32" spans="1:63" x14ac:dyDescent="0.25"/>
    <row r="33" spans="1:63" x14ac:dyDescent="0.25"/>
    <row r="34" spans="1:63" x14ac:dyDescent="0.25"/>
    <row r="35" spans="1:63" x14ac:dyDescent="0.25"/>
    <row r="36" spans="1:63" x14ac:dyDescent="0.25"/>
    <row r="37" spans="1:63" x14ac:dyDescent="0.25"/>
    <row r="38" spans="1:63" x14ac:dyDescent="0.25"/>
    <row r="39" spans="1:63" hidden="1" x14ac:dyDescent="0.25">
      <c r="A39" s="630"/>
      <c r="B39" s="631"/>
      <c r="C39" s="632"/>
      <c r="D39" s="633"/>
      <c r="E39" s="634"/>
      <c r="F39" s="664"/>
      <c r="G39" s="686"/>
      <c r="H39" s="630"/>
      <c r="I39" s="635"/>
      <c r="J39" s="635"/>
      <c r="K39" s="635"/>
      <c r="L39" s="635"/>
      <c r="M39" s="635"/>
      <c r="N39" s="635"/>
      <c r="O39" s="635"/>
      <c r="P39" s="635"/>
      <c r="Q39" s="635"/>
      <c r="R39" s="635"/>
      <c r="S39" s="635"/>
      <c r="T39" s="635"/>
      <c r="U39" s="635"/>
      <c r="V39" s="635"/>
      <c r="W39" s="635"/>
      <c r="X39" s="635"/>
      <c r="Y39" s="635"/>
      <c r="Z39" s="635"/>
      <c r="AA39" s="635"/>
      <c r="AB39" s="635"/>
      <c r="AC39" s="635"/>
      <c r="AD39" s="635"/>
      <c r="AE39" s="635"/>
      <c r="AF39" s="635"/>
      <c r="AG39" s="635"/>
      <c r="AH39" s="635"/>
      <c r="AI39" s="635"/>
      <c r="AJ39" s="635"/>
      <c r="AK39" s="635"/>
      <c r="AL39" s="635"/>
      <c r="AM39" s="635"/>
      <c r="AN39" s="635"/>
      <c r="AO39" s="635"/>
      <c r="AP39" s="635"/>
      <c r="AQ39" s="635"/>
      <c r="AR39" s="635"/>
      <c r="AS39" s="635"/>
      <c r="AT39" s="635"/>
      <c r="AU39" s="635"/>
      <c r="AV39" s="635"/>
      <c r="AW39" s="635"/>
      <c r="AX39" s="635"/>
      <c r="AY39" s="635"/>
      <c r="AZ39" s="635"/>
      <c r="BA39" s="635"/>
      <c r="BB39" s="635"/>
      <c r="BC39" s="635"/>
      <c r="BD39" s="635"/>
      <c r="BE39" s="635"/>
      <c r="BF39" s="635"/>
      <c r="BG39" s="635"/>
      <c r="BH39" s="635"/>
      <c r="BI39" s="626"/>
      <c r="BK39" s="635"/>
    </row>
    <row r="40" spans="1:63" hidden="1" x14ac:dyDescent="0.25">
      <c r="A40" s="639"/>
      <c r="B40" s="636"/>
      <c r="C40" s="637"/>
      <c r="D40" s="647"/>
      <c r="E40" s="648"/>
      <c r="F40" s="684"/>
      <c r="G40" s="687"/>
      <c r="H40" s="685"/>
      <c r="I40" s="635"/>
      <c r="J40" s="635"/>
      <c r="K40" s="635"/>
      <c r="L40" s="635"/>
      <c r="M40" s="635"/>
      <c r="N40" s="635"/>
      <c r="O40" s="635"/>
      <c r="P40" s="635"/>
      <c r="Q40" s="635"/>
      <c r="R40" s="635"/>
      <c r="S40" s="635"/>
      <c r="T40" s="635"/>
      <c r="U40" s="635"/>
      <c r="V40" s="635"/>
      <c r="W40" s="635"/>
      <c r="X40" s="635"/>
      <c r="Y40" s="635"/>
      <c r="Z40" s="635"/>
      <c r="AA40" s="635"/>
      <c r="AB40" s="635"/>
      <c r="AC40" s="635"/>
      <c r="AD40" s="635"/>
      <c r="AE40" s="635"/>
      <c r="AF40" s="635"/>
      <c r="AG40" s="635"/>
      <c r="AH40" s="635"/>
      <c r="AI40" s="635"/>
      <c r="AJ40" s="635"/>
      <c r="AK40" s="635"/>
      <c r="AL40" s="635"/>
      <c r="AM40" s="635"/>
      <c r="AN40" s="635"/>
      <c r="AO40" s="635"/>
      <c r="AP40" s="635"/>
      <c r="AQ40" s="635"/>
      <c r="AR40" s="635"/>
      <c r="AS40" s="635"/>
      <c r="AT40" s="635"/>
      <c r="AU40" s="635"/>
      <c r="AV40" s="635"/>
      <c r="AW40" s="635"/>
      <c r="AX40" s="635"/>
      <c r="AY40" s="635"/>
      <c r="AZ40" s="635"/>
      <c r="BA40" s="635"/>
      <c r="BB40" s="635"/>
      <c r="BC40" s="635"/>
      <c r="BD40" s="635"/>
      <c r="BE40" s="635"/>
      <c r="BF40" s="635"/>
      <c r="BG40" s="635"/>
      <c r="BH40" s="635"/>
      <c r="BI40" s="626"/>
      <c r="BK40" s="635"/>
    </row>
    <row r="41" spans="1:63" hidden="1" x14ac:dyDescent="0.25">
      <c r="A41" s="639" t="s">
        <v>951</v>
      </c>
      <c r="B41" s="636"/>
      <c r="C41" s="637"/>
      <c r="D41" s="671"/>
      <c r="E41" s="672"/>
      <c r="F41" s="673"/>
      <c r="G41" s="674"/>
      <c r="H41" s="638"/>
      <c r="I41" s="635"/>
      <c r="J41" s="635"/>
      <c r="K41" s="635"/>
      <c r="L41" s="635"/>
      <c r="M41" s="635"/>
      <c r="N41" s="635"/>
      <c r="O41" s="635"/>
      <c r="P41" s="635"/>
      <c r="Q41" s="635"/>
      <c r="R41" s="635"/>
      <c r="S41" s="635"/>
      <c r="T41" s="635"/>
      <c r="U41" s="635"/>
      <c r="V41" s="635"/>
      <c r="W41" s="635"/>
      <c r="X41" s="635"/>
      <c r="Y41" s="635"/>
      <c r="Z41" s="635"/>
      <c r="AA41" s="635"/>
      <c r="AB41" s="635"/>
      <c r="AC41" s="635"/>
      <c r="AD41" s="635"/>
      <c r="AE41" s="635"/>
      <c r="AF41" s="635"/>
      <c r="AG41" s="635"/>
      <c r="AH41" s="635"/>
      <c r="AI41" s="635"/>
      <c r="AJ41" s="635"/>
      <c r="AK41" s="635"/>
      <c r="AL41" s="635"/>
      <c r="AM41" s="635"/>
      <c r="AN41" s="635"/>
      <c r="AO41" s="635"/>
      <c r="AP41" s="635"/>
      <c r="AQ41" s="635"/>
      <c r="AR41" s="635"/>
      <c r="AS41" s="635"/>
      <c r="AT41" s="635"/>
      <c r="AU41" s="635"/>
      <c r="AV41" s="635"/>
      <c r="AW41" s="635"/>
      <c r="AX41" s="635"/>
      <c r="AY41" s="635"/>
      <c r="AZ41" s="635"/>
      <c r="BA41" s="635"/>
      <c r="BB41" s="635"/>
      <c r="BC41" s="635"/>
      <c r="BD41" s="635"/>
      <c r="BE41" s="635"/>
      <c r="BF41" s="635"/>
      <c r="BG41" s="635"/>
      <c r="BH41" s="635"/>
      <c r="BI41" s="626"/>
      <c r="BK41" s="635"/>
    </row>
    <row r="42" spans="1:63" x14ac:dyDescent="0.25"/>
    <row r="43" spans="1:63" x14ac:dyDescent="0.25"/>
    <row r="44" spans="1:63" x14ac:dyDescent="0.25"/>
    <row r="45" spans="1:63" x14ac:dyDescent="0.25"/>
    <row r="46" spans="1:63" x14ac:dyDescent="0.25"/>
    <row r="47" spans="1:63" x14ac:dyDescent="0.25"/>
    <row r="48" spans="1:63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</sheetData>
  <sheetProtection sheet="1" scenarios="1" formatCells="0" formatColumns="0" formatRows="0" insertHyperlink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41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71"/>
  <sheetViews>
    <sheetView zoomScaleNormal="100" workbookViewId="0">
      <selection activeCell="L70" sqref="L70"/>
    </sheetView>
  </sheetViews>
  <sheetFormatPr defaultColWidth="9.140625" defaultRowHeight="15" x14ac:dyDescent="0.25"/>
  <cols>
    <col min="1" max="1" width="4.7109375" style="675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7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hidden="1" customWidth="1"/>
    <col min="37" max="37" width="7.85546875" style="10" hidden="1" customWidth="1"/>
    <col min="38" max="38" width="7.28515625" style="10" hidden="1" customWidth="1"/>
    <col min="39" max="39" width="9.140625" style="10" hidden="1" customWidth="1"/>
    <col min="40" max="40" width="9.140625" style="10" customWidth="1"/>
    <col min="41" max="16384" width="9.140625" style="10"/>
  </cols>
  <sheetData>
    <row r="1" spans="3:39" x14ac:dyDescent="0.25">
      <c r="U1" s="712"/>
      <c r="V1" s="712"/>
      <c r="W1" s="712"/>
      <c r="AJ1" s="712"/>
      <c r="AK1" s="712"/>
      <c r="AL1" s="712"/>
      <c r="AM1" s="712"/>
    </row>
    <row r="6" spans="3:39" x14ac:dyDescent="0.25">
      <c r="H6" s="680"/>
      <c r="I6" s="60"/>
      <c r="J6" s="60"/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3" t="s">
        <v>968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969</v>
      </c>
      <c r="P11" s="714"/>
      <c r="Q11" s="714"/>
      <c r="R11" s="714" t="s">
        <v>970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971</v>
      </c>
      <c r="H12" s="57" t="s">
        <v>253</v>
      </c>
      <c r="I12" s="56" t="s">
        <v>370</v>
      </c>
      <c r="J12" s="57" t="s">
        <v>971</v>
      </c>
      <c r="K12" s="56" t="s">
        <v>253</v>
      </c>
      <c r="L12" s="56" t="s">
        <v>370</v>
      </c>
      <c r="M12" s="57" t="s">
        <v>971</v>
      </c>
      <c r="N12" s="56" t="s">
        <v>253</v>
      </c>
      <c r="O12" s="56" t="s">
        <v>370</v>
      </c>
      <c r="P12" s="57" t="s">
        <v>971</v>
      </c>
      <c r="Q12" s="56" t="s">
        <v>253</v>
      </c>
      <c r="R12" s="56" t="s">
        <v>370</v>
      </c>
      <c r="S12" s="57" t="s">
        <v>971</v>
      </c>
      <c r="T12" s="332" t="s">
        <v>253</v>
      </c>
      <c r="U12" s="56" t="s">
        <v>370</v>
      </c>
      <c r="V12" s="57" t="s">
        <v>971</v>
      </c>
      <c r="W12" s="56" t="s">
        <v>253</v>
      </c>
      <c r="X12" s="59"/>
      <c r="AJ12" s="56" t="s">
        <v>370</v>
      </c>
      <c r="AK12" s="56" t="s">
        <v>3</v>
      </c>
      <c r="AL12" s="57" t="s">
        <v>971</v>
      </c>
      <c r="AM12" s="56" t="s">
        <v>253</v>
      </c>
    </row>
    <row r="13" spans="3:39" x14ac:dyDescent="0.25">
      <c r="C13" s="716"/>
      <c r="D13" s="230">
        <f t="shared" ref="D13:D64" ca="1" si="0">IFERROR(OFFSET(D13,-1,0)+1,1)</f>
        <v>1</v>
      </c>
      <c r="E13" s="231">
        <f ca="1">IFERROR(OFFSET(E13,-1,0)+7,Settings!\cstart)</f>
        <v>43451</v>
      </c>
      <c r="F13" s="232"/>
      <c r="G13" s="679"/>
      <c r="H13" s="235">
        <f ca="1">IFERROR(INDEX('Rate Tables'!$B$5:$D$8,MATCH($E13,'Rate Tables'!$B$5:$B$8,-1),2),INDEX('Rate Tables'!$B$5:$D$8,1,2))*40*F13+((40*G13)*IFERROR(INDEX('Rate Tables'!$B$5:$D$8,MATCH($E13,'Rate Tables'!$B$5:$B$8,-1),3),INDEX('Rate Tables'!$B$5:$D$8,1,3)))</f>
        <v>0</v>
      </c>
      <c r="I13" s="233"/>
      <c r="J13" s="679"/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0</v>
      </c>
      <c r="L13" s="233"/>
      <c r="M13" s="679"/>
      <c r="N13" s="235">
        <f>INDEX('Rate Tables'!$B$33:$D$33,1,2)*40*L13+((40*M13)*INDEX('Rate Tables'!$B$33:$D$33,1,3))</f>
        <v>0</v>
      </c>
      <c r="O13" s="233"/>
      <c r="P13" s="679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79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79"/>
      <c r="W13" s="235">
        <f>INDEX('Rate Tables'!$B$51:$D$51,1,2)*40*U13+((40*V13)*INDEX('Rate Tables'!$B$51:$D$51,1,3))</f>
        <v>0</v>
      </c>
      <c r="X13" s="59"/>
      <c r="AJ13" s="233"/>
      <c r="AK13" s="683"/>
      <c r="AL13" s="679"/>
      <c r="AM13" s="235">
        <f t="shared" ref="AM13:AM64" si="1">(AJ13*AK13*40)+(AL13*40*1.27*AK13)</f>
        <v>0</v>
      </c>
    </row>
    <row r="14" spans="3:39" x14ac:dyDescent="0.25">
      <c r="C14" s="717"/>
      <c r="D14" s="230">
        <f t="shared" ca="1" si="0"/>
        <v>2</v>
      </c>
      <c r="E14" s="231">
        <f ca="1">IFERROR(OFFSET(E14,-1,0)+7,Settings!\cstart)</f>
        <v>43458</v>
      </c>
      <c r="F14" s="232"/>
      <c r="G14" s="679"/>
      <c r="H14" s="235">
        <f ca="1">IFERROR(INDEX('Rate Tables'!$B$5:$D$8,MATCH($E14,'Rate Tables'!$B$5:$B$8,-1),2),INDEX('Rate Tables'!$B$5:$D$8,1,2))*40*F14+((40*G14)*IFERROR(INDEX('Rate Tables'!$B$5:$D$8,MATCH($E14,'Rate Tables'!$B$5:$B$8,-1),3),INDEX('Rate Tables'!$B$5:$D$8,1,3)))</f>
        <v>0</v>
      </c>
      <c r="I14" s="233"/>
      <c r="J14" s="679"/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0</v>
      </c>
      <c r="L14" s="233"/>
      <c r="M14" s="679"/>
      <c r="N14" s="235">
        <f>INDEX('Rate Tables'!$B$33:$D$33,1,2)*40*L14+((40*M14)*INDEX('Rate Tables'!$B$33:$D$33,1,3))</f>
        <v>0</v>
      </c>
      <c r="O14" s="233"/>
      <c r="P14" s="679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79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79"/>
      <c r="W14" s="235">
        <f>INDEX('Rate Tables'!$B$51:$D$51,1,2)*40*U14+((40*V14)*INDEX('Rate Tables'!$B$51:$D$51,1,3))</f>
        <v>0</v>
      </c>
      <c r="X14" s="59"/>
      <c r="AJ14" s="233"/>
      <c r="AK14" s="683"/>
      <c r="AL14" s="679"/>
      <c r="AM14" s="235">
        <f t="shared" si="1"/>
        <v>0</v>
      </c>
    </row>
    <row r="15" spans="3:39" x14ac:dyDescent="0.25">
      <c r="C15" s="717"/>
      <c r="D15" s="230">
        <f t="shared" ca="1" si="0"/>
        <v>3</v>
      </c>
      <c r="E15" s="231">
        <f ca="1">IFERROR(OFFSET(E15,-1,0)+7,Settings!\cstart)</f>
        <v>43465</v>
      </c>
      <c r="F15" s="232"/>
      <c r="G15" s="679"/>
      <c r="H15" s="235">
        <f ca="1">IFERROR(INDEX('Rate Tables'!$B$5:$D$8,MATCH($E15,'Rate Tables'!$B$5:$B$8,-1),2),INDEX('Rate Tables'!$B$5:$D$8,1,2))*40*F15+((40*G15)*IFERROR(INDEX('Rate Tables'!$B$5:$D$8,MATCH($E15,'Rate Tables'!$B$5:$B$8,-1),3),INDEX('Rate Tables'!$B$5:$D$8,1,3)))</f>
        <v>0</v>
      </c>
      <c r="I15" s="233"/>
      <c r="J15" s="679"/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0</v>
      </c>
      <c r="L15" s="233"/>
      <c r="M15" s="679"/>
      <c r="N15" s="235">
        <f>INDEX('Rate Tables'!$B$33:$D$33,1,2)*40*L15+((40*M15)*INDEX('Rate Tables'!$B$33:$D$33,1,3))</f>
        <v>0</v>
      </c>
      <c r="O15" s="233"/>
      <c r="P15" s="679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79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79"/>
      <c r="W15" s="235">
        <f>INDEX('Rate Tables'!$B$51:$D$51,1,2)*40*U15+((40*V15)*INDEX('Rate Tables'!$B$51:$D$51,1,3))</f>
        <v>0</v>
      </c>
      <c r="X15" s="59"/>
      <c r="AJ15" s="233"/>
      <c r="AK15" s="683"/>
      <c r="AL15" s="679"/>
      <c r="AM15" s="235">
        <f t="shared" si="1"/>
        <v>0</v>
      </c>
    </row>
    <row r="16" spans="3:39" x14ac:dyDescent="0.25">
      <c r="C16" s="717"/>
      <c r="D16" s="230">
        <f t="shared" ca="1" si="0"/>
        <v>4</v>
      </c>
      <c r="E16" s="231">
        <f ca="1">IFERROR(OFFSET(E16,-1,0)+7,Settings!\cstart)</f>
        <v>43472</v>
      </c>
      <c r="F16" s="232"/>
      <c r="G16" s="679"/>
      <c r="H16" s="235">
        <f ca="1">IFERROR(INDEX('Rate Tables'!$B$5:$D$8,MATCH($E16,'Rate Tables'!$B$5:$B$8,-1),2),INDEX('Rate Tables'!$B$5:$D$8,1,2))*40*F16+((40*G16)*IFERROR(INDEX('Rate Tables'!$B$5:$D$8,MATCH($E16,'Rate Tables'!$B$5:$B$8,-1),3),INDEX('Rate Tables'!$B$5:$D$8,1,3)))</f>
        <v>0</v>
      </c>
      <c r="I16" s="233"/>
      <c r="J16" s="679"/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0</v>
      </c>
      <c r="L16" s="233"/>
      <c r="M16" s="679"/>
      <c r="N16" s="235">
        <f>INDEX('Rate Tables'!$B$33:$D$33,1,2)*40*L16+((40*M16)*INDEX('Rate Tables'!$B$33:$D$33,1,3))</f>
        <v>0</v>
      </c>
      <c r="O16" s="233"/>
      <c r="P16" s="679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79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79"/>
      <c r="W16" s="235">
        <f>INDEX('Rate Tables'!$B$51:$D$51,1,2)*40*U16+((40*V16)*INDEX('Rate Tables'!$B$51:$D$51,1,3))</f>
        <v>0</v>
      </c>
      <c r="X16" s="59"/>
      <c r="AJ16" s="233"/>
      <c r="AK16" s="683"/>
      <c r="AL16" s="679"/>
      <c r="AM16" s="235">
        <f t="shared" si="1"/>
        <v>0</v>
      </c>
    </row>
    <row r="17" spans="3:39" x14ac:dyDescent="0.25">
      <c r="C17" s="717"/>
      <c r="D17" s="230">
        <f t="shared" ca="1" si="0"/>
        <v>5</v>
      </c>
      <c r="E17" s="231">
        <f ca="1">IFERROR(OFFSET(E17,-1,0)+7,Settings!\cstart)</f>
        <v>43479</v>
      </c>
      <c r="F17" s="232"/>
      <c r="G17" s="679"/>
      <c r="H17" s="235">
        <f ca="1">IFERROR(INDEX('Rate Tables'!$B$5:$D$8,MATCH($E17,'Rate Tables'!$B$5:$B$8,-1),2),INDEX('Rate Tables'!$B$5:$D$8,1,2))*40*F17+((40*G17)*IFERROR(INDEX('Rate Tables'!$B$5:$D$8,MATCH($E17,'Rate Tables'!$B$5:$B$8,-1),3),INDEX('Rate Tables'!$B$5:$D$8,1,3)))</f>
        <v>0</v>
      </c>
      <c r="I17" s="233"/>
      <c r="J17" s="679"/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0</v>
      </c>
      <c r="L17" s="233"/>
      <c r="M17" s="679"/>
      <c r="N17" s="235">
        <f>INDEX('Rate Tables'!$B$33:$D$33,1,2)*40*L17+((40*M17)*INDEX('Rate Tables'!$B$33:$D$33,1,3))</f>
        <v>0</v>
      </c>
      <c r="O17" s="233"/>
      <c r="P17" s="679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79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79"/>
      <c r="W17" s="235">
        <f>INDEX('Rate Tables'!$B$51:$D$51,1,2)*40*U17+((40*V17)*INDEX('Rate Tables'!$B$51:$D$51,1,3))</f>
        <v>0</v>
      </c>
      <c r="X17" s="59"/>
      <c r="AJ17" s="233"/>
      <c r="AK17" s="683"/>
      <c r="AL17" s="679"/>
      <c r="AM17" s="235">
        <f t="shared" si="1"/>
        <v>0</v>
      </c>
    </row>
    <row r="18" spans="3:39" x14ac:dyDescent="0.25">
      <c r="C18" s="717"/>
      <c r="D18" s="230">
        <f t="shared" ca="1" si="0"/>
        <v>6</v>
      </c>
      <c r="E18" s="231">
        <f ca="1">IFERROR(OFFSET(E18,-1,0)+7,Settings!\cstart)</f>
        <v>43486</v>
      </c>
      <c r="F18" s="232"/>
      <c r="G18" s="679"/>
      <c r="H18" s="235">
        <f ca="1">IFERROR(INDEX('Rate Tables'!$B$5:$D$8,MATCH($E18,'Rate Tables'!$B$5:$B$8,-1),2),INDEX('Rate Tables'!$B$5:$D$8,1,2))*40*F18+((40*G18)*IFERROR(INDEX('Rate Tables'!$B$5:$D$8,MATCH($E18,'Rate Tables'!$B$5:$B$8,-1),3),INDEX('Rate Tables'!$B$5:$D$8,1,3)))</f>
        <v>0</v>
      </c>
      <c r="I18" s="233"/>
      <c r="J18" s="679"/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0</v>
      </c>
      <c r="L18" s="233"/>
      <c r="M18" s="679"/>
      <c r="N18" s="235">
        <f>INDEX('Rate Tables'!$B$33:$D$33,1,2)*40*L18+((40*M18)*INDEX('Rate Tables'!$B$33:$D$33,1,3))</f>
        <v>0</v>
      </c>
      <c r="O18" s="233"/>
      <c r="P18" s="679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79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79"/>
      <c r="W18" s="235">
        <f>INDEX('Rate Tables'!$B$51:$D$51,1,2)*40*U18+((40*V18)*INDEX('Rate Tables'!$B$51:$D$51,1,3))</f>
        <v>0</v>
      </c>
      <c r="X18" s="59"/>
      <c r="AJ18" s="233"/>
      <c r="AK18" s="683"/>
      <c r="AL18" s="679"/>
      <c r="AM18" s="235">
        <f t="shared" si="1"/>
        <v>0</v>
      </c>
    </row>
    <row r="19" spans="3:39" x14ac:dyDescent="0.25">
      <c r="C19" s="717"/>
      <c r="D19" s="230">
        <f t="shared" ca="1" si="0"/>
        <v>7</v>
      </c>
      <c r="E19" s="231">
        <f ca="1">IFERROR(OFFSET(E19,-1,0)+7,Settings!\cstart)</f>
        <v>43493</v>
      </c>
      <c r="F19" s="232"/>
      <c r="G19" s="679"/>
      <c r="H19" s="235">
        <f ca="1">IFERROR(INDEX('Rate Tables'!$B$5:$D$8,MATCH($E19,'Rate Tables'!$B$5:$B$8,-1),2),INDEX('Rate Tables'!$B$5:$D$8,1,2))*40*F19+((40*G19)*IFERROR(INDEX('Rate Tables'!$B$5:$D$8,MATCH($E19,'Rate Tables'!$B$5:$B$8,-1),3),INDEX('Rate Tables'!$B$5:$D$8,1,3)))</f>
        <v>0</v>
      </c>
      <c r="I19" s="233"/>
      <c r="J19" s="679"/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0</v>
      </c>
      <c r="L19" s="233"/>
      <c r="M19" s="679"/>
      <c r="N19" s="235">
        <f>INDEX('Rate Tables'!$B$33:$D$33,1,2)*40*L19+((40*M19)*INDEX('Rate Tables'!$B$33:$D$33,1,3))</f>
        <v>0</v>
      </c>
      <c r="O19" s="233"/>
      <c r="P19" s="679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79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79"/>
      <c r="W19" s="235">
        <f>INDEX('Rate Tables'!$B$51:$D$51,1,2)*40*U19+((40*V19)*INDEX('Rate Tables'!$B$51:$D$51,1,3))</f>
        <v>0</v>
      </c>
      <c r="X19" s="59"/>
      <c r="AJ19" s="233"/>
      <c r="AK19" s="683"/>
      <c r="AL19" s="679"/>
      <c r="AM19" s="235">
        <f t="shared" si="1"/>
        <v>0</v>
      </c>
    </row>
    <row r="20" spans="3:39" x14ac:dyDescent="0.25">
      <c r="C20" s="717"/>
      <c r="D20" s="230">
        <f t="shared" ca="1" si="0"/>
        <v>8</v>
      </c>
      <c r="E20" s="231">
        <f ca="1">IFERROR(OFFSET(E20,-1,0)+7,Settings!\cstart)</f>
        <v>43500</v>
      </c>
      <c r="F20" s="232"/>
      <c r="G20" s="679"/>
      <c r="H20" s="235">
        <f ca="1">IFERROR(INDEX('Rate Tables'!$B$5:$D$8,MATCH($E20,'Rate Tables'!$B$5:$B$8,-1),2),INDEX('Rate Tables'!$B$5:$D$8,1,2))*40*F20+((40*G20)*IFERROR(INDEX('Rate Tables'!$B$5:$D$8,MATCH($E20,'Rate Tables'!$B$5:$B$8,-1),3),INDEX('Rate Tables'!$B$5:$D$8,1,3)))</f>
        <v>0</v>
      </c>
      <c r="I20" s="233"/>
      <c r="J20" s="679"/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0</v>
      </c>
      <c r="L20" s="233"/>
      <c r="M20" s="679"/>
      <c r="N20" s="235">
        <f>INDEX('Rate Tables'!$B$33:$D$33,1,2)*40*L20+((40*M20)*INDEX('Rate Tables'!$B$33:$D$33,1,3))</f>
        <v>0</v>
      </c>
      <c r="O20" s="233"/>
      <c r="P20" s="679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79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79"/>
      <c r="W20" s="235">
        <f>INDEX('Rate Tables'!$B$51:$D$51,1,2)*40*U20+((40*V20)*INDEX('Rate Tables'!$B$51:$D$51,1,3))</f>
        <v>0</v>
      </c>
      <c r="X20" s="59"/>
      <c r="AJ20" s="233"/>
      <c r="AK20" s="683"/>
      <c r="AL20" s="679"/>
      <c r="AM20" s="235">
        <f t="shared" si="1"/>
        <v>0</v>
      </c>
    </row>
    <row r="21" spans="3:39" x14ac:dyDescent="0.25">
      <c r="C21" s="717"/>
      <c r="D21" s="230">
        <f t="shared" ca="1" si="0"/>
        <v>9</v>
      </c>
      <c r="E21" s="231">
        <f ca="1">IFERROR(OFFSET(E21,-1,0)+7,Settings!\cstart)</f>
        <v>43507</v>
      </c>
      <c r="F21" s="232"/>
      <c r="G21" s="679"/>
      <c r="H21" s="235">
        <f ca="1">IFERROR(INDEX('Rate Tables'!$B$5:$D$8,MATCH($E21,'Rate Tables'!$B$5:$B$8,-1),2),INDEX('Rate Tables'!$B$5:$D$8,1,2))*40*F21+((40*G21)*IFERROR(INDEX('Rate Tables'!$B$5:$D$8,MATCH($E21,'Rate Tables'!$B$5:$B$8,-1),3),INDEX('Rate Tables'!$B$5:$D$8,1,3)))</f>
        <v>0</v>
      </c>
      <c r="I21" s="233"/>
      <c r="J21" s="679"/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0</v>
      </c>
      <c r="L21" s="233"/>
      <c r="M21" s="679"/>
      <c r="N21" s="235">
        <f>INDEX('Rate Tables'!$B$33:$D$33,1,2)*40*L21+((40*M21)*INDEX('Rate Tables'!$B$33:$D$33,1,3))</f>
        <v>0</v>
      </c>
      <c r="O21" s="233"/>
      <c r="P21" s="679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79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79"/>
      <c r="W21" s="235">
        <f>INDEX('Rate Tables'!$B$51:$D$51,1,2)*40*U21+((40*V21)*INDEX('Rate Tables'!$B$51:$D$51,1,3))</f>
        <v>0</v>
      </c>
      <c r="X21" s="59"/>
      <c r="AJ21" s="233"/>
      <c r="AK21" s="683"/>
      <c r="AL21" s="679"/>
      <c r="AM21" s="235">
        <f t="shared" si="1"/>
        <v>0</v>
      </c>
    </row>
    <row r="22" spans="3:39" x14ac:dyDescent="0.25">
      <c r="C22" s="717"/>
      <c r="D22" s="230">
        <f t="shared" ca="1" si="0"/>
        <v>10</v>
      </c>
      <c r="E22" s="231">
        <f ca="1">IFERROR(OFFSET(E22,-1,0)+7,Settings!\cstart)</f>
        <v>43514</v>
      </c>
      <c r="F22" s="232"/>
      <c r="G22" s="679"/>
      <c r="H22" s="235">
        <f ca="1">IFERROR(INDEX('Rate Tables'!$B$5:$D$8,MATCH($E22,'Rate Tables'!$B$5:$B$8,-1),2),INDEX('Rate Tables'!$B$5:$D$8,1,2))*40*F22+((40*G22)*IFERROR(INDEX('Rate Tables'!$B$5:$D$8,MATCH($E22,'Rate Tables'!$B$5:$B$8,-1),3),INDEX('Rate Tables'!$B$5:$D$8,1,3)))</f>
        <v>0</v>
      </c>
      <c r="I22" s="233"/>
      <c r="J22" s="679"/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0</v>
      </c>
      <c r="L22" s="233"/>
      <c r="M22" s="679"/>
      <c r="N22" s="235">
        <f>INDEX('Rate Tables'!$B$33:$D$33,1,2)*40*L22+((40*M22)*INDEX('Rate Tables'!$B$33:$D$33,1,3))</f>
        <v>0</v>
      </c>
      <c r="O22" s="233"/>
      <c r="P22" s="679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79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79"/>
      <c r="W22" s="235">
        <f>INDEX('Rate Tables'!$B$51:$D$51,1,2)*40*U22+((40*V22)*INDEX('Rate Tables'!$B$51:$D$51,1,3))</f>
        <v>0</v>
      </c>
      <c r="X22" s="59"/>
      <c r="AJ22" s="233"/>
      <c r="AK22" s="683"/>
      <c r="AL22" s="679"/>
      <c r="AM22" s="235">
        <f t="shared" si="1"/>
        <v>0</v>
      </c>
    </row>
    <row r="23" spans="3:39" x14ac:dyDescent="0.25">
      <c r="C23" s="717"/>
      <c r="D23" s="230">
        <f t="shared" ca="1" si="0"/>
        <v>11</v>
      </c>
      <c r="E23" s="231">
        <f ca="1">IFERROR(OFFSET(E23,-1,0)+7,Settings!\cstart)</f>
        <v>43521</v>
      </c>
      <c r="F23" s="232"/>
      <c r="G23" s="679"/>
      <c r="H23" s="235">
        <f ca="1">IFERROR(INDEX('Rate Tables'!$B$5:$D$8,MATCH($E23,'Rate Tables'!$B$5:$B$8,-1),2),INDEX('Rate Tables'!$B$5:$D$8,1,2))*40*F23+((40*G23)*IFERROR(INDEX('Rate Tables'!$B$5:$D$8,MATCH($E23,'Rate Tables'!$B$5:$B$8,-1),3),INDEX('Rate Tables'!$B$5:$D$8,1,3)))</f>
        <v>0</v>
      </c>
      <c r="I23" s="233"/>
      <c r="J23" s="679"/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0</v>
      </c>
      <c r="L23" s="233"/>
      <c r="M23" s="679"/>
      <c r="N23" s="235">
        <f>INDEX('Rate Tables'!$B$33:$D$33,1,2)*40*L23+((40*M23)*INDEX('Rate Tables'!$B$33:$D$33,1,3))</f>
        <v>0</v>
      </c>
      <c r="O23" s="233"/>
      <c r="P23" s="679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79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79"/>
      <c r="W23" s="235">
        <f>INDEX('Rate Tables'!$B$51:$D$51,1,2)*40*U23+((40*V23)*INDEX('Rate Tables'!$B$51:$D$51,1,3))</f>
        <v>0</v>
      </c>
      <c r="X23" s="59"/>
      <c r="AJ23" s="233"/>
      <c r="AK23" s="683"/>
      <c r="AL23" s="679"/>
      <c r="AM23" s="235">
        <f t="shared" si="1"/>
        <v>0</v>
      </c>
    </row>
    <row r="24" spans="3:39" x14ac:dyDescent="0.25">
      <c r="C24" s="717"/>
      <c r="D24" s="230">
        <f t="shared" ca="1" si="0"/>
        <v>12</v>
      </c>
      <c r="E24" s="231">
        <f ca="1">IFERROR(OFFSET(E24,-1,0)+7,Settings!\cstart)</f>
        <v>43528</v>
      </c>
      <c r="F24" s="232"/>
      <c r="G24" s="679"/>
      <c r="H24" s="235">
        <f ca="1">IFERROR(INDEX('Rate Tables'!$B$5:$D$8,MATCH($E24,'Rate Tables'!$B$5:$B$8,-1),2),INDEX('Rate Tables'!$B$5:$D$8,1,2))*40*F24+((40*G24)*IFERROR(INDEX('Rate Tables'!$B$5:$D$8,MATCH($E24,'Rate Tables'!$B$5:$B$8,-1),3),INDEX('Rate Tables'!$B$5:$D$8,1,3)))</f>
        <v>0</v>
      </c>
      <c r="I24" s="233"/>
      <c r="J24" s="679"/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0</v>
      </c>
      <c r="L24" s="233"/>
      <c r="M24" s="679"/>
      <c r="N24" s="235">
        <f>INDEX('Rate Tables'!$B$33:$D$33,1,2)*40*L24+((40*M24)*INDEX('Rate Tables'!$B$33:$D$33,1,3))</f>
        <v>0</v>
      </c>
      <c r="O24" s="233"/>
      <c r="P24" s="679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79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79"/>
      <c r="W24" s="235">
        <f>INDEX('Rate Tables'!$B$51:$D$51,1,2)*40*U24+((40*V24)*INDEX('Rate Tables'!$B$51:$D$51,1,3))</f>
        <v>0</v>
      </c>
      <c r="X24" s="59"/>
      <c r="AJ24" s="233"/>
      <c r="AK24" s="683"/>
      <c r="AL24" s="679"/>
      <c r="AM24" s="235">
        <f t="shared" si="1"/>
        <v>0</v>
      </c>
    </row>
    <row r="25" spans="3:39" x14ac:dyDescent="0.25">
      <c r="C25" s="717"/>
      <c r="D25" s="230">
        <f t="shared" ca="1" si="0"/>
        <v>13</v>
      </c>
      <c r="E25" s="231">
        <f ca="1">IFERROR(OFFSET(E25,-1,0)+7,Settings!\cstart)</f>
        <v>43535</v>
      </c>
      <c r="F25" s="232"/>
      <c r="G25" s="679"/>
      <c r="H25" s="235">
        <f ca="1">IFERROR(INDEX('Rate Tables'!$B$5:$D$8,MATCH($E25,'Rate Tables'!$B$5:$B$8,-1),2),INDEX('Rate Tables'!$B$5:$D$8,1,2))*40*F25+((40*G25)*IFERROR(INDEX('Rate Tables'!$B$5:$D$8,MATCH($E25,'Rate Tables'!$B$5:$B$8,-1),3),INDEX('Rate Tables'!$B$5:$D$8,1,3)))</f>
        <v>0</v>
      </c>
      <c r="I25" s="233"/>
      <c r="J25" s="679"/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0</v>
      </c>
      <c r="L25" s="233"/>
      <c r="M25" s="679"/>
      <c r="N25" s="235">
        <f>INDEX('Rate Tables'!$B$33:$D$33,1,2)*40*L25+((40*M25)*INDEX('Rate Tables'!$B$33:$D$33,1,3))</f>
        <v>0</v>
      </c>
      <c r="O25" s="233"/>
      <c r="P25" s="679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79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79"/>
      <c r="W25" s="235">
        <f>INDEX('Rate Tables'!$B$51:$D$51,1,2)*40*U25+((40*V25)*INDEX('Rate Tables'!$B$51:$D$51,1,3))</f>
        <v>0</v>
      </c>
      <c r="X25" s="59"/>
      <c r="AJ25" s="233"/>
      <c r="AK25" s="683"/>
      <c r="AL25" s="679"/>
      <c r="AM25" s="235">
        <f t="shared" si="1"/>
        <v>0</v>
      </c>
    </row>
    <row r="26" spans="3:39" x14ac:dyDescent="0.25">
      <c r="C26" s="717"/>
      <c r="D26" s="230">
        <f t="shared" ca="1" si="0"/>
        <v>14</v>
      </c>
      <c r="E26" s="231">
        <f ca="1">IFERROR(OFFSET(E26,-1,0)+7,Settings!\cstart)</f>
        <v>43542</v>
      </c>
      <c r="F26" s="232"/>
      <c r="G26" s="679"/>
      <c r="H26" s="235">
        <f ca="1">IFERROR(INDEX('Rate Tables'!$B$5:$D$8,MATCH($E26,'Rate Tables'!$B$5:$B$8,-1),2),INDEX('Rate Tables'!$B$5:$D$8,1,2))*40*F26+((40*G26)*IFERROR(INDEX('Rate Tables'!$B$5:$D$8,MATCH($E26,'Rate Tables'!$B$5:$B$8,-1),3),INDEX('Rate Tables'!$B$5:$D$8,1,3)))</f>
        <v>0</v>
      </c>
      <c r="I26" s="233"/>
      <c r="J26" s="679"/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0</v>
      </c>
      <c r="L26" s="233"/>
      <c r="M26" s="679"/>
      <c r="N26" s="235">
        <f>INDEX('Rate Tables'!$B$33:$D$33,1,2)*40*L26+((40*M26)*INDEX('Rate Tables'!$B$33:$D$33,1,3))</f>
        <v>0</v>
      </c>
      <c r="O26" s="233"/>
      <c r="P26" s="679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79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79"/>
      <c r="W26" s="235">
        <f>INDEX('Rate Tables'!$B$51:$D$51,1,2)*40*U26+((40*V26)*INDEX('Rate Tables'!$B$51:$D$51,1,3))</f>
        <v>0</v>
      </c>
      <c r="X26" s="59"/>
      <c r="AJ26" s="233"/>
      <c r="AK26" s="683"/>
      <c r="AL26" s="679"/>
      <c r="AM26" s="235">
        <f t="shared" si="1"/>
        <v>0</v>
      </c>
    </row>
    <row r="27" spans="3:39" x14ac:dyDescent="0.25">
      <c r="C27" s="717"/>
      <c r="D27" s="230">
        <f t="shared" ca="1" si="0"/>
        <v>15</v>
      </c>
      <c r="E27" s="231">
        <f ca="1">IFERROR(OFFSET(E27,-1,0)+7,Settings!\cstart)</f>
        <v>43549</v>
      </c>
      <c r="F27" s="232"/>
      <c r="G27" s="679"/>
      <c r="H27" s="235">
        <f ca="1">IFERROR(INDEX('Rate Tables'!$B$5:$D$8,MATCH($E27,'Rate Tables'!$B$5:$B$8,-1),2),INDEX('Rate Tables'!$B$5:$D$8,1,2))*40*F27+((40*G27)*IFERROR(INDEX('Rate Tables'!$B$5:$D$8,MATCH($E27,'Rate Tables'!$B$5:$B$8,-1),3),INDEX('Rate Tables'!$B$5:$D$8,1,3)))</f>
        <v>0</v>
      </c>
      <c r="I27" s="233"/>
      <c r="J27" s="679"/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0</v>
      </c>
      <c r="L27" s="233"/>
      <c r="M27" s="679"/>
      <c r="N27" s="235">
        <f>INDEX('Rate Tables'!$B$33:$D$33,1,2)*40*L27+((40*M27)*INDEX('Rate Tables'!$B$33:$D$33,1,3))</f>
        <v>0</v>
      </c>
      <c r="O27" s="233"/>
      <c r="P27" s="679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79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79"/>
      <c r="W27" s="235">
        <f>INDEX('Rate Tables'!$B$51:$D$51,1,2)*40*U27+((40*V27)*INDEX('Rate Tables'!$B$51:$D$51,1,3))</f>
        <v>0</v>
      </c>
      <c r="X27" s="59"/>
      <c r="AJ27" s="233"/>
      <c r="AK27" s="683"/>
      <c r="AL27" s="679"/>
      <c r="AM27" s="235">
        <f t="shared" si="1"/>
        <v>0</v>
      </c>
    </row>
    <row r="28" spans="3:39" x14ac:dyDescent="0.25">
      <c r="C28" s="717"/>
      <c r="D28" s="230">
        <f t="shared" ca="1" si="0"/>
        <v>16</v>
      </c>
      <c r="E28" s="231">
        <f ca="1">IFERROR(OFFSET(E28,-1,0)+7,Settings!\cstart)</f>
        <v>43556</v>
      </c>
      <c r="F28" s="232"/>
      <c r="G28" s="679"/>
      <c r="H28" s="235">
        <f ca="1">IFERROR(INDEX('Rate Tables'!$B$5:$D$8,MATCH($E28,'Rate Tables'!$B$5:$B$8,-1),2),INDEX('Rate Tables'!$B$5:$D$8,1,2))*40*F28+((40*G28)*IFERROR(INDEX('Rate Tables'!$B$5:$D$8,MATCH($E28,'Rate Tables'!$B$5:$B$8,-1),3),INDEX('Rate Tables'!$B$5:$D$8,1,3)))</f>
        <v>0</v>
      </c>
      <c r="I28" s="233"/>
      <c r="J28" s="679"/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0</v>
      </c>
      <c r="L28" s="233"/>
      <c r="M28" s="679"/>
      <c r="N28" s="235">
        <f>INDEX('Rate Tables'!$B$33:$D$33,1,2)*40*L28+((40*M28)*INDEX('Rate Tables'!$B$33:$D$33,1,3))</f>
        <v>0</v>
      </c>
      <c r="O28" s="233"/>
      <c r="P28" s="679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79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79"/>
      <c r="W28" s="235">
        <f>INDEX('Rate Tables'!$B$51:$D$51,1,2)*40*U28+((40*V28)*INDEX('Rate Tables'!$B$51:$D$51,1,3))</f>
        <v>0</v>
      </c>
      <c r="X28" s="59"/>
      <c r="AJ28" s="233"/>
      <c r="AK28" s="683"/>
      <c r="AL28" s="679"/>
      <c r="AM28" s="235">
        <f t="shared" si="1"/>
        <v>0</v>
      </c>
    </row>
    <row r="29" spans="3:39" x14ac:dyDescent="0.25">
      <c r="C29" s="717"/>
      <c r="D29" s="230">
        <f t="shared" ca="1" si="0"/>
        <v>17</v>
      </c>
      <c r="E29" s="231">
        <f ca="1">IFERROR(OFFSET(E29,-1,0)+7,Settings!\cstart)</f>
        <v>43563</v>
      </c>
      <c r="F29" s="232"/>
      <c r="G29" s="679"/>
      <c r="H29" s="235">
        <f ca="1">IFERROR(INDEX('Rate Tables'!$B$5:$D$8,MATCH($E29,'Rate Tables'!$B$5:$B$8,-1),2),INDEX('Rate Tables'!$B$5:$D$8,1,2))*40*F29+((40*G29)*IFERROR(INDEX('Rate Tables'!$B$5:$D$8,MATCH($E29,'Rate Tables'!$B$5:$B$8,-1),3),INDEX('Rate Tables'!$B$5:$D$8,1,3)))</f>
        <v>0</v>
      </c>
      <c r="I29" s="233"/>
      <c r="J29" s="679"/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0</v>
      </c>
      <c r="L29" s="233"/>
      <c r="M29" s="679"/>
      <c r="N29" s="235">
        <f>INDEX('Rate Tables'!$B$33:$D$33,1,2)*40*L29+((40*M29)*INDEX('Rate Tables'!$B$33:$D$33,1,3))</f>
        <v>0</v>
      </c>
      <c r="O29" s="233"/>
      <c r="P29" s="679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79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79"/>
      <c r="W29" s="235">
        <f>INDEX('Rate Tables'!$B$51:$D$51,1,2)*40*U29+((40*V29)*INDEX('Rate Tables'!$B$51:$D$51,1,3))</f>
        <v>0</v>
      </c>
      <c r="X29" s="59"/>
      <c r="AJ29" s="233"/>
      <c r="AK29" s="683"/>
      <c r="AL29" s="679"/>
      <c r="AM29" s="235">
        <f t="shared" si="1"/>
        <v>0</v>
      </c>
    </row>
    <row r="30" spans="3:39" x14ac:dyDescent="0.25">
      <c r="C30" s="717"/>
      <c r="D30" s="230">
        <f t="shared" ca="1" si="0"/>
        <v>18</v>
      </c>
      <c r="E30" s="231">
        <f ca="1">IFERROR(OFFSET(E30,-1,0)+7,Settings!\cstart)</f>
        <v>43570</v>
      </c>
      <c r="F30" s="232"/>
      <c r="G30" s="679"/>
      <c r="H30" s="235">
        <f ca="1">IFERROR(INDEX('Rate Tables'!$B$5:$D$8,MATCH($E30,'Rate Tables'!$B$5:$B$8,-1),2),INDEX('Rate Tables'!$B$5:$D$8,1,2))*40*F30+((40*G30)*IFERROR(INDEX('Rate Tables'!$B$5:$D$8,MATCH($E30,'Rate Tables'!$B$5:$B$8,-1),3),INDEX('Rate Tables'!$B$5:$D$8,1,3)))</f>
        <v>0</v>
      </c>
      <c r="I30" s="233"/>
      <c r="J30" s="679"/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0</v>
      </c>
      <c r="L30" s="233"/>
      <c r="M30" s="679"/>
      <c r="N30" s="235">
        <f>INDEX('Rate Tables'!$B$33:$D$33,1,2)*40*L30+((40*M30)*INDEX('Rate Tables'!$B$33:$D$33,1,3))</f>
        <v>0</v>
      </c>
      <c r="O30" s="233"/>
      <c r="P30" s="679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79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79"/>
      <c r="W30" s="235">
        <f>INDEX('Rate Tables'!$B$51:$D$51,1,2)*40*U30+((40*V30)*INDEX('Rate Tables'!$B$51:$D$51,1,3))</f>
        <v>0</v>
      </c>
      <c r="X30" s="59"/>
      <c r="AJ30" s="233"/>
      <c r="AK30" s="683"/>
      <c r="AL30" s="679"/>
      <c r="AM30" s="235">
        <f t="shared" si="1"/>
        <v>0</v>
      </c>
    </row>
    <row r="31" spans="3:39" x14ac:dyDescent="0.25">
      <c r="C31" s="717"/>
      <c r="D31" s="230">
        <f t="shared" ca="1" si="0"/>
        <v>19</v>
      </c>
      <c r="E31" s="231">
        <f ca="1">IFERROR(OFFSET(E31,-1,0)+7,Settings!\cstart)</f>
        <v>43577</v>
      </c>
      <c r="F31" s="232"/>
      <c r="G31" s="679"/>
      <c r="H31" s="235">
        <f ca="1">IFERROR(INDEX('Rate Tables'!$B$5:$D$8,MATCH($E31,'Rate Tables'!$B$5:$B$8,-1),2),INDEX('Rate Tables'!$B$5:$D$8,1,2))*40*F31+((40*G31)*IFERROR(INDEX('Rate Tables'!$B$5:$D$8,MATCH($E31,'Rate Tables'!$B$5:$B$8,-1),3),INDEX('Rate Tables'!$B$5:$D$8,1,3)))</f>
        <v>0</v>
      </c>
      <c r="I31" s="233"/>
      <c r="J31" s="679"/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0</v>
      </c>
      <c r="L31" s="233"/>
      <c r="M31" s="679"/>
      <c r="N31" s="235">
        <f>INDEX('Rate Tables'!$B$33:$D$33,1,2)*40*L31+((40*M31)*INDEX('Rate Tables'!$B$33:$D$33,1,3))</f>
        <v>0</v>
      </c>
      <c r="O31" s="233"/>
      <c r="P31" s="679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79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79"/>
      <c r="W31" s="235">
        <f>INDEX('Rate Tables'!$B$51:$D$51,1,2)*40*U31+((40*V31)*INDEX('Rate Tables'!$B$51:$D$51,1,3))</f>
        <v>0</v>
      </c>
      <c r="X31" s="59"/>
      <c r="AJ31" s="233"/>
      <c r="AK31" s="683"/>
      <c r="AL31" s="679"/>
      <c r="AM31" s="235">
        <f t="shared" si="1"/>
        <v>0</v>
      </c>
    </row>
    <row r="32" spans="3:39" x14ac:dyDescent="0.25">
      <c r="C32" s="717"/>
      <c r="D32" s="230">
        <f t="shared" ca="1" si="0"/>
        <v>20</v>
      </c>
      <c r="E32" s="231">
        <f ca="1">IFERROR(OFFSET(E32,-1,0)+7,Settings!\cstart)</f>
        <v>43584</v>
      </c>
      <c r="F32" s="232"/>
      <c r="G32" s="679"/>
      <c r="H32" s="235">
        <f ca="1">IFERROR(INDEX('Rate Tables'!$B$5:$D$8,MATCH($E32,'Rate Tables'!$B$5:$B$8,-1),2),INDEX('Rate Tables'!$B$5:$D$8,1,2))*40*F32+((40*G32)*IFERROR(INDEX('Rate Tables'!$B$5:$D$8,MATCH($E32,'Rate Tables'!$B$5:$B$8,-1),3),INDEX('Rate Tables'!$B$5:$D$8,1,3)))</f>
        <v>0</v>
      </c>
      <c r="I32" s="233"/>
      <c r="J32" s="679"/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0</v>
      </c>
      <c r="L32" s="233"/>
      <c r="M32" s="679"/>
      <c r="N32" s="235">
        <f>INDEX('Rate Tables'!$B$33:$D$33,1,2)*40*L32+((40*M32)*INDEX('Rate Tables'!$B$33:$D$33,1,3))</f>
        <v>0</v>
      </c>
      <c r="O32" s="233"/>
      <c r="P32" s="679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79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79"/>
      <c r="W32" s="235">
        <f>INDEX('Rate Tables'!$B$51:$D$51,1,2)*40*U32+((40*V32)*INDEX('Rate Tables'!$B$51:$D$51,1,3))</f>
        <v>0</v>
      </c>
      <c r="X32" s="59"/>
      <c r="AJ32" s="233"/>
      <c r="AK32" s="683"/>
      <c r="AL32" s="679"/>
      <c r="AM32" s="235">
        <f t="shared" si="1"/>
        <v>0</v>
      </c>
    </row>
    <row r="33" spans="3:39" x14ac:dyDescent="0.25">
      <c r="C33" s="717"/>
      <c r="D33" s="230">
        <f t="shared" ca="1" si="0"/>
        <v>21</v>
      </c>
      <c r="E33" s="231">
        <f ca="1">IFERROR(OFFSET(E33,-1,0)+7,Settings!\cstart)</f>
        <v>43591</v>
      </c>
      <c r="F33" s="232"/>
      <c r="G33" s="679"/>
      <c r="H33" s="235">
        <f ca="1">IFERROR(INDEX('Rate Tables'!$B$5:$D$8,MATCH($E33,'Rate Tables'!$B$5:$B$8,-1),2),INDEX('Rate Tables'!$B$5:$D$8,1,2))*40*F33+((40*G33)*IFERROR(INDEX('Rate Tables'!$B$5:$D$8,MATCH($E33,'Rate Tables'!$B$5:$B$8,-1),3),INDEX('Rate Tables'!$B$5:$D$8,1,3)))</f>
        <v>0</v>
      </c>
      <c r="I33" s="233"/>
      <c r="J33" s="679"/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0</v>
      </c>
      <c r="L33" s="233"/>
      <c r="M33" s="679"/>
      <c r="N33" s="235">
        <f>INDEX('Rate Tables'!$B$33:$D$33,1,2)*40*L33+((40*M33)*INDEX('Rate Tables'!$B$33:$D$33,1,3))</f>
        <v>0</v>
      </c>
      <c r="O33" s="233"/>
      <c r="P33" s="679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79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79"/>
      <c r="W33" s="235">
        <f>INDEX('Rate Tables'!$B$51:$D$51,1,2)*40*U33+((40*V33)*INDEX('Rate Tables'!$B$51:$D$51,1,3))</f>
        <v>0</v>
      </c>
      <c r="X33" s="59"/>
      <c r="AJ33" s="233"/>
      <c r="AK33" s="683"/>
      <c r="AL33" s="679"/>
      <c r="AM33" s="235">
        <f t="shared" si="1"/>
        <v>0</v>
      </c>
    </row>
    <row r="34" spans="3:39" x14ac:dyDescent="0.25">
      <c r="C34" s="717"/>
      <c r="D34" s="230">
        <f t="shared" ca="1" si="0"/>
        <v>22</v>
      </c>
      <c r="E34" s="231">
        <f ca="1">IFERROR(OFFSET(E34,-1,0)+7,Settings!\cstart)</f>
        <v>43598</v>
      </c>
      <c r="F34" s="232"/>
      <c r="G34" s="679"/>
      <c r="H34" s="235">
        <f ca="1">IFERROR(INDEX('Rate Tables'!$B$5:$D$8,MATCH($E34,'Rate Tables'!$B$5:$B$8,-1),2),INDEX('Rate Tables'!$B$5:$D$8,1,2))*40*F34+((40*G34)*IFERROR(INDEX('Rate Tables'!$B$5:$D$8,MATCH($E34,'Rate Tables'!$B$5:$B$8,-1),3),INDEX('Rate Tables'!$B$5:$D$8,1,3)))</f>
        <v>0</v>
      </c>
      <c r="I34" s="233"/>
      <c r="J34" s="679"/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0</v>
      </c>
      <c r="L34" s="233"/>
      <c r="M34" s="679"/>
      <c r="N34" s="235">
        <f>INDEX('Rate Tables'!$B$33:$D$33,1,2)*40*L34+((40*M34)*INDEX('Rate Tables'!$B$33:$D$33,1,3))</f>
        <v>0</v>
      </c>
      <c r="O34" s="233"/>
      <c r="P34" s="679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79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79"/>
      <c r="W34" s="235">
        <f>INDEX('Rate Tables'!$B$51:$D$51,1,2)*40*U34+((40*V34)*INDEX('Rate Tables'!$B$51:$D$51,1,3))</f>
        <v>0</v>
      </c>
      <c r="X34" s="59"/>
      <c r="AJ34" s="233"/>
      <c r="AK34" s="683"/>
      <c r="AL34" s="679"/>
      <c r="AM34" s="235">
        <f t="shared" si="1"/>
        <v>0</v>
      </c>
    </row>
    <row r="35" spans="3:39" x14ac:dyDescent="0.25">
      <c r="C35" s="717"/>
      <c r="D35" s="230">
        <f t="shared" ca="1" si="0"/>
        <v>23</v>
      </c>
      <c r="E35" s="231">
        <f ca="1">IFERROR(OFFSET(E35,-1,0)+7,Settings!\cstart)</f>
        <v>43605</v>
      </c>
      <c r="F35" s="232"/>
      <c r="G35" s="679"/>
      <c r="H35" s="235">
        <f ca="1">IFERROR(INDEX('Rate Tables'!$B$5:$D$8,MATCH($E35,'Rate Tables'!$B$5:$B$8,-1),2),INDEX('Rate Tables'!$B$5:$D$8,1,2))*40*F35+((40*G35)*IFERROR(INDEX('Rate Tables'!$B$5:$D$8,MATCH($E35,'Rate Tables'!$B$5:$B$8,-1),3),INDEX('Rate Tables'!$B$5:$D$8,1,3)))</f>
        <v>0</v>
      </c>
      <c r="I35" s="233"/>
      <c r="J35" s="679"/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0</v>
      </c>
      <c r="L35" s="233"/>
      <c r="M35" s="679"/>
      <c r="N35" s="235">
        <f>INDEX('Rate Tables'!$B$33:$D$33,1,2)*40*L35+((40*M35)*INDEX('Rate Tables'!$B$33:$D$33,1,3))</f>
        <v>0</v>
      </c>
      <c r="O35" s="233"/>
      <c r="P35" s="679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79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79"/>
      <c r="W35" s="235">
        <f>INDEX('Rate Tables'!$B$51:$D$51,1,2)*40*U35+((40*V35)*INDEX('Rate Tables'!$B$51:$D$51,1,3))</f>
        <v>0</v>
      </c>
      <c r="X35" s="59"/>
      <c r="AJ35" s="233"/>
      <c r="AK35" s="683"/>
      <c r="AL35" s="679"/>
      <c r="AM35" s="235">
        <f t="shared" si="1"/>
        <v>0</v>
      </c>
    </row>
    <row r="36" spans="3:39" x14ac:dyDescent="0.25">
      <c r="C36" s="717"/>
      <c r="D36" s="230">
        <f t="shared" ca="1" si="0"/>
        <v>24</v>
      </c>
      <c r="E36" s="231">
        <f ca="1">IFERROR(OFFSET(E36,-1,0)+7,Settings!\cstart)</f>
        <v>43612</v>
      </c>
      <c r="F36" s="232"/>
      <c r="G36" s="679"/>
      <c r="H36" s="235">
        <f ca="1">IFERROR(INDEX('Rate Tables'!$B$5:$D$8,MATCH($E36,'Rate Tables'!$B$5:$B$8,-1),2),INDEX('Rate Tables'!$B$5:$D$8,1,2))*40*F36+((40*G36)*IFERROR(INDEX('Rate Tables'!$B$5:$D$8,MATCH($E36,'Rate Tables'!$B$5:$B$8,-1),3),INDEX('Rate Tables'!$B$5:$D$8,1,3)))</f>
        <v>0</v>
      </c>
      <c r="I36" s="233"/>
      <c r="J36" s="679"/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0</v>
      </c>
      <c r="L36" s="233"/>
      <c r="M36" s="679"/>
      <c r="N36" s="235">
        <f>INDEX('Rate Tables'!$B$33:$D$33,1,2)*40*L36+((40*M36)*INDEX('Rate Tables'!$B$33:$D$33,1,3))</f>
        <v>0</v>
      </c>
      <c r="O36" s="233"/>
      <c r="P36" s="679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79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79"/>
      <c r="W36" s="235">
        <f>INDEX('Rate Tables'!$B$51:$D$51,1,2)*40*U36+((40*V36)*INDEX('Rate Tables'!$B$51:$D$51,1,3))</f>
        <v>0</v>
      </c>
      <c r="X36" s="59"/>
      <c r="AJ36" s="233"/>
      <c r="AK36" s="683"/>
      <c r="AL36" s="679"/>
      <c r="AM36" s="235">
        <f t="shared" si="1"/>
        <v>0</v>
      </c>
    </row>
    <row r="37" spans="3:39" x14ac:dyDescent="0.25">
      <c r="C37" s="717"/>
      <c r="D37" s="230">
        <f t="shared" ca="1" si="0"/>
        <v>25</v>
      </c>
      <c r="E37" s="231">
        <f ca="1">IFERROR(OFFSET(E37,-1,0)+7,Settings!\cstart)</f>
        <v>43619</v>
      </c>
      <c r="F37" s="232"/>
      <c r="G37" s="679"/>
      <c r="H37" s="235">
        <f ca="1">IFERROR(INDEX('Rate Tables'!$B$5:$D$8,MATCH($E37,'Rate Tables'!$B$5:$B$8,-1),2),INDEX('Rate Tables'!$B$5:$D$8,1,2))*40*F37+((40*G37)*IFERROR(INDEX('Rate Tables'!$B$5:$D$8,MATCH($E37,'Rate Tables'!$B$5:$B$8,-1),3),INDEX('Rate Tables'!$B$5:$D$8,1,3)))</f>
        <v>0</v>
      </c>
      <c r="I37" s="233"/>
      <c r="J37" s="679"/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0</v>
      </c>
      <c r="L37" s="233"/>
      <c r="M37" s="679"/>
      <c r="N37" s="235">
        <f>INDEX('Rate Tables'!$B$33:$D$33,1,2)*40*L37+((40*M37)*INDEX('Rate Tables'!$B$33:$D$33,1,3))</f>
        <v>0</v>
      </c>
      <c r="O37" s="233"/>
      <c r="P37" s="679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79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79"/>
      <c r="W37" s="235">
        <f>INDEX('Rate Tables'!$B$51:$D$51,1,2)*40*U37+((40*V37)*INDEX('Rate Tables'!$B$51:$D$51,1,3))</f>
        <v>0</v>
      </c>
      <c r="X37" s="59"/>
      <c r="AJ37" s="233"/>
      <c r="AK37" s="683"/>
      <c r="AL37" s="679"/>
      <c r="AM37" s="235">
        <f t="shared" si="1"/>
        <v>0</v>
      </c>
    </row>
    <row r="38" spans="3:39" x14ac:dyDescent="0.25">
      <c r="C38" s="717"/>
      <c r="D38" s="230">
        <f t="shared" ca="1" si="0"/>
        <v>26</v>
      </c>
      <c r="E38" s="231">
        <f ca="1">IFERROR(OFFSET(E38,-1,0)+7,Settings!\cstart)</f>
        <v>43626</v>
      </c>
      <c r="F38" s="232"/>
      <c r="G38" s="679"/>
      <c r="H38" s="235">
        <f ca="1">IFERROR(INDEX('Rate Tables'!$B$5:$D$8,MATCH($E38,'Rate Tables'!$B$5:$B$8,-1),2),INDEX('Rate Tables'!$B$5:$D$8,1,2))*40*F38+((40*G38)*IFERROR(INDEX('Rate Tables'!$B$5:$D$8,MATCH($E38,'Rate Tables'!$B$5:$B$8,-1),3),INDEX('Rate Tables'!$B$5:$D$8,1,3)))</f>
        <v>0</v>
      </c>
      <c r="I38" s="233"/>
      <c r="J38" s="679"/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0</v>
      </c>
      <c r="L38" s="233"/>
      <c r="M38" s="679"/>
      <c r="N38" s="235">
        <f>INDEX('Rate Tables'!$B$33:$D$33,1,2)*40*L38+((40*M38)*INDEX('Rate Tables'!$B$33:$D$33,1,3))</f>
        <v>0</v>
      </c>
      <c r="O38" s="233"/>
      <c r="P38" s="679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79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79"/>
      <c r="W38" s="235">
        <f>INDEX('Rate Tables'!$B$51:$D$51,1,2)*40*U38+((40*V38)*INDEX('Rate Tables'!$B$51:$D$51,1,3))</f>
        <v>0</v>
      </c>
      <c r="X38" s="59"/>
      <c r="AJ38" s="233"/>
      <c r="AK38" s="683"/>
      <c r="AL38" s="679"/>
      <c r="AM38" s="235">
        <f t="shared" si="1"/>
        <v>0</v>
      </c>
    </row>
    <row r="39" spans="3:39" x14ac:dyDescent="0.25">
      <c r="C39" s="717"/>
      <c r="D39" s="230">
        <f t="shared" ca="1" si="0"/>
        <v>27</v>
      </c>
      <c r="E39" s="231">
        <f ca="1">IFERROR(OFFSET(E39,-1,0)+7,Settings!\cstart)</f>
        <v>43633</v>
      </c>
      <c r="F39" s="232"/>
      <c r="G39" s="679"/>
      <c r="H39" s="235">
        <f ca="1">IFERROR(INDEX('Rate Tables'!$B$5:$D$8,MATCH($E39,'Rate Tables'!$B$5:$B$8,-1),2),INDEX('Rate Tables'!$B$5:$D$8,1,2))*40*F39+((40*G39)*IFERROR(INDEX('Rate Tables'!$B$5:$D$8,MATCH($E39,'Rate Tables'!$B$5:$B$8,-1),3),INDEX('Rate Tables'!$B$5:$D$8,1,3)))</f>
        <v>0</v>
      </c>
      <c r="I39" s="233"/>
      <c r="J39" s="679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0</v>
      </c>
      <c r="L39" s="233"/>
      <c r="M39" s="679"/>
      <c r="N39" s="235">
        <f>INDEX('Rate Tables'!$B$33:$D$33,1,2)*40*L39+((40*M39)*INDEX('Rate Tables'!$B$33:$D$33,1,3))</f>
        <v>0</v>
      </c>
      <c r="O39" s="233"/>
      <c r="P39" s="679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79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79"/>
      <c r="W39" s="235">
        <f>INDEX('Rate Tables'!$B$51:$D$51,1,2)*40*U39+((40*V39)*INDEX('Rate Tables'!$B$51:$D$51,1,3))</f>
        <v>0</v>
      </c>
      <c r="X39" s="59"/>
      <c r="AJ39" s="233"/>
      <c r="AK39" s="683"/>
      <c r="AL39" s="679"/>
      <c r="AM39" s="235">
        <f t="shared" si="1"/>
        <v>0</v>
      </c>
    </row>
    <row r="40" spans="3:39" x14ac:dyDescent="0.25">
      <c r="C40" s="717"/>
      <c r="D40" s="230">
        <f t="shared" ca="1" si="0"/>
        <v>28</v>
      </c>
      <c r="E40" s="231">
        <f ca="1">IFERROR(OFFSET(E40,-1,0)+7,Settings!\cstart)</f>
        <v>43640</v>
      </c>
      <c r="F40" s="232"/>
      <c r="G40" s="679"/>
      <c r="H40" s="235">
        <f ca="1">IFERROR(INDEX('Rate Tables'!$B$5:$D$8,MATCH($E40,'Rate Tables'!$B$5:$B$8,-1),2),INDEX('Rate Tables'!$B$5:$D$8,1,2))*40*F40+((40*G40)*IFERROR(INDEX('Rate Tables'!$B$5:$D$8,MATCH($E40,'Rate Tables'!$B$5:$B$8,-1),3),INDEX('Rate Tables'!$B$5:$D$8,1,3)))</f>
        <v>0</v>
      </c>
      <c r="I40" s="233"/>
      <c r="J40" s="679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0</v>
      </c>
      <c r="L40" s="233"/>
      <c r="M40" s="679"/>
      <c r="N40" s="235">
        <f>INDEX('Rate Tables'!$B$33:$D$33,1,2)*40*L40+((40*M40)*INDEX('Rate Tables'!$B$33:$D$33,1,3))</f>
        <v>0</v>
      </c>
      <c r="O40" s="233"/>
      <c r="P40" s="679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79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79"/>
      <c r="W40" s="235">
        <f>INDEX('Rate Tables'!$B$51:$D$51,1,2)*40*U40+((40*V40)*INDEX('Rate Tables'!$B$51:$D$51,1,3))</f>
        <v>0</v>
      </c>
      <c r="X40" s="59"/>
      <c r="AJ40" s="233"/>
      <c r="AK40" s="683"/>
      <c r="AL40" s="679"/>
      <c r="AM40" s="235">
        <f t="shared" si="1"/>
        <v>0</v>
      </c>
    </row>
    <row r="41" spans="3:39" x14ac:dyDescent="0.25">
      <c r="C41" s="717"/>
      <c r="D41" s="230">
        <f t="shared" ca="1" si="0"/>
        <v>29</v>
      </c>
      <c r="E41" s="231">
        <f ca="1">IFERROR(OFFSET(E41,-1,0)+7,Settings!\cstart)</f>
        <v>43647</v>
      </c>
      <c r="F41" s="232"/>
      <c r="G41" s="679"/>
      <c r="H41" s="235">
        <f ca="1">IFERROR(INDEX('Rate Tables'!$B$5:$D$8,MATCH($E41,'Rate Tables'!$B$5:$B$8,-1),2),INDEX('Rate Tables'!$B$5:$D$8,1,2))*40*F41+((40*G41)*IFERROR(INDEX('Rate Tables'!$B$5:$D$8,MATCH($E41,'Rate Tables'!$B$5:$B$8,-1),3),INDEX('Rate Tables'!$B$5:$D$8,1,3)))</f>
        <v>0</v>
      </c>
      <c r="I41" s="233"/>
      <c r="J41" s="679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0</v>
      </c>
      <c r="L41" s="233"/>
      <c r="M41" s="679"/>
      <c r="N41" s="235">
        <f>INDEX('Rate Tables'!$B$33:$D$33,1,2)*40*L41+((40*M41)*INDEX('Rate Tables'!$B$33:$D$33,1,3))</f>
        <v>0</v>
      </c>
      <c r="O41" s="233"/>
      <c r="P41" s="679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79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79"/>
      <c r="W41" s="235">
        <f>INDEX('Rate Tables'!$B$51:$D$51,1,2)*40*U41+((40*V41)*INDEX('Rate Tables'!$B$51:$D$51,1,3))</f>
        <v>0</v>
      </c>
      <c r="X41" s="59"/>
      <c r="AJ41" s="233"/>
      <c r="AK41" s="683"/>
      <c r="AL41" s="679"/>
      <c r="AM41" s="235">
        <f t="shared" si="1"/>
        <v>0</v>
      </c>
    </row>
    <row r="42" spans="3:39" x14ac:dyDescent="0.25">
      <c r="C42" s="717"/>
      <c r="D42" s="230">
        <f t="shared" ca="1" si="0"/>
        <v>30</v>
      </c>
      <c r="E42" s="231">
        <f ca="1">IFERROR(OFFSET(E42,-1,0)+7,Settings!\cstart)</f>
        <v>43654</v>
      </c>
      <c r="F42" s="232"/>
      <c r="G42" s="679"/>
      <c r="H42" s="235">
        <f ca="1">IFERROR(INDEX('Rate Tables'!$B$5:$D$8,MATCH($E42,'Rate Tables'!$B$5:$B$8,-1),2),INDEX('Rate Tables'!$B$5:$D$8,1,2))*40*F42+((40*G42)*IFERROR(INDEX('Rate Tables'!$B$5:$D$8,MATCH($E42,'Rate Tables'!$B$5:$B$8,-1),3),INDEX('Rate Tables'!$B$5:$D$8,1,3)))</f>
        <v>0</v>
      </c>
      <c r="I42" s="233"/>
      <c r="J42" s="679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0</v>
      </c>
      <c r="L42" s="233"/>
      <c r="M42" s="679"/>
      <c r="N42" s="235">
        <f>INDEX('Rate Tables'!$B$33:$D$33,1,2)*40*L42+((40*M42)*INDEX('Rate Tables'!$B$33:$D$33,1,3))</f>
        <v>0</v>
      </c>
      <c r="O42" s="233"/>
      <c r="P42" s="679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79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79"/>
      <c r="W42" s="235">
        <f>INDEX('Rate Tables'!$B$51:$D$51,1,2)*40*U42+((40*V42)*INDEX('Rate Tables'!$B$51:$D$51,1,3))</f>
        <v>0</v>
      </c>
      <c r="X42" s="59"/>
      <c r="AJ42" s="233"/>
      <c r="AK42" s="683"/>
      <c r="AL42" s="679"/>
      <c r="AM42" s="235">
        <f t="shared" si="1"/>
        <v>0</v>
      </c>
    </row>
    <row r="43" spans="3:39" x14ac:dyDescent="0.25">
      <c r="C43" s="717"/>
      <c r="D43" s="230">
        <f t="shared" ca="1" si="0"/>
        <v>31</v>
      </c>
      <c r="E43" s="231">
        <f ca="1">IFERROR(OFFSET(E43,-1,0)+7,Settings!\cstart)</f>
        <v>43661</v>
      </c>
      <c r="F43" s="232"/>
      <c r="G43" s="679"/>
      <c r="H43" s="235">
        <f ca="1">IFERROR(INDEX('Rate Tables'!$B$5:$D$8,MATCH($E43,'Rate Tables'!$B$5:$B$8,-1),2),INDEX('Rate Tables'!$B$5:$D$8,1,2))*40*F43+((40*G43)*IFERROR(INDEX('Rate Tables'!$B$5:$D$8,MATCH($E43,'Rate Tables'!$B$5:$B$8,-1),3),INDEX('Rate Tables'!$B$5:$D$8,1,3)))</f>
        <v>0</v>
      </c>
      <c r="I43" s="233"/>
      <c r="J43" s="679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0</v>
      </c>
      <c r="L43" s="233"/>
      <c r="M43" s="679"/>
      <c r="N43" s="235">
        <f>INDEX('Rate Tables'!$B$33:$D$33,1,2)*40*L43+((40*M43)*INDEX('Rate Tables'!$B$33:$D$33,1,3))</f>
        <v>0</v>
      </c>
      <c r="O43" s="233"/>
      <c r="P43" s="679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79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79"/>
      <c r="W43" s="235">
        <f>INDEX('Rate Tables'!$B$51:$D$51,1,2)*40*U43+((40*V43)*INDEX('Rate Tables'!$B$51:$D$51,1,3))</f>
        <v>0</v>
      </c>
      <c r="X43" s="59"/>
      <c r="AJ43" s="233"/>
      <c r="AK43" s="683"/>
      <c r="AL43" s="679"/>
      <c r="AM43" s="235">
        <f t="shared" si="1"/>
        <v>0</v>
      </c>
    </row>
    <row r="44" spans="3:39" x14ac:dyDescent="0.25">
      <c r="C44" s="717"/>
      <c r="D44" s="230">
        <f t="shared" ca="1" si="0"/>
        <v>32</v>
      </c>
      <c r="E44" s="231">
        <f ca="1">IFERROR(OFFSET(E44,-1,0)+7,Settings!\cstart)</f>
        <v>43668</v>
      </c>
      <c r="F44" s="232"/>
      <c r="G44" s="679"/>
      <c r="H44" s="235">
        <f ca="1">IFERROR(INDEX('Rate Tables'!$B$5:$D$8,MATCH($E44,'Rate Tables'!$B$5:$B$8,-1),2),INDEX('Rate Tables'!$B$5:$D$8,1,2))*40*F44+((40*G44)*IFERROR(INDEX('Rate Tables'!$B$5:$D$8,MATCH($E44,'Rate Tables'!$B$5:$B$8,-1),3),INDEX('Rate Tables'!$B$5:$D$8,1,3)))</f>
        <v>0</v>
      </c>
      <c r="I44" s="233"/>
      <c r="J44" s="679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0</v>
      </c>
      <c r="L44" s="233"/>
      <c r="M44" s="679"/>
      <c r="N44" s="235">
        <f>INDEX('Rate Tables'!$B$33:$D$33,1,2)*40*L44+((40*M44)*INDEX('Rate Tables'!$B$33:$D$33,1,3))</f>
        <v>0</v>
      </c>
      <c r="O44" s="233"/>
      <c r="P44" s="679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79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79"/>
      <c r="W44" s="235">
        <f>INDEX('Rate Tables'!$B$51:$D$51,1,2)*40*U44+((40*V44)*INDEX('Rate Tables'!$B$51:$D$51,1,3))</f>
        <v>0</v>
      </c>
      <c r="X44" s="59"/>
      <c r="AJ44" s="233"/>
      <c r="AK44" s="683"/>
      <c r="AL44" s="679"/>
      <c r="AM44" s="235">
        <f t="shared" si="1"/>
        <v>0</v>
      </c>
    </row>
    <row r="45" spans="3:39" x14ac:dyDescent="0.25">
      <c r="C45" s="717"/>
      <c r="D45" s="230">
        <f t="shared" ca="1" si="0"/>
        <v>33</v>
      </c>
      <c r="E45" s="231">
        <f ca="1">IFERROR(OFFSET(E45,-1,0)+7,Settings!\cstart)</f>
        <v>43675</v>
      </c>
      <c r="F45" s="232"/>
      <c r="G45" s="679"/>
      <c r="H45" s="235">
        <f ca="1">IFERROR(INDEX('Rate Tables'!$B$5:$D$8,MATCH($E45,'Rate Tables'!$B$5:$B$8,-1),2),INDEX('Rate Tables'!$B$5:$D$8,1,2))*40*F45+((40*G45)*IFERROR(INDEX('Rate Tables'!$B$5:$D$8,MATCH($E45,'Rate Tables'!$B$5:$B$8,-1),3),INDEX('Rate Tables'!$B$5:$D$8,1,3)))</f>
        <v>0</v>
      </c>
      <c r="I45" s="233"/>
      <c r="J45" s="679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0</v>
      </c>
      <c r="L45" s="233"/>
      <c r="M45" s="679"/>
      <c r="N45" s="235">
        <f>INDEX('Rate Tables'!$B$33:$D$33,1,2)*40*L45+((40*M45)*INDEX('Rate Tables'!$B$33:$D$33,1,3))</f>
        <v>0</v>
      </c>
      <c r="O45" s="233"/>
      <c r="P45" s="679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79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79"/>
      <c r="W45" s="235">
        <f>INDEX('Rate Tables'!$B$51:$D$51,1,2)*40*U45+((40*V45)*INDEX('Rate Tables'!$B$51:$D$51,1,3))</f>
        <v>0</v>
      </c>
      <c r="X45" s="59"/>
      <c r="AJ45" s="233"/>
      <c r="AK45" s="683"/>
      <c r="AL45" s="679"/>
      <c r="AM45" s="235">
        <f t="shared" si="1"/>
        <v>0</v>
      </c>
    </row>
    <row r="46" spans="3:39" x14ac:dyDescent="0.25">
      <c r="C46" s="717"/>
      <c r="D46" s="230">
        <f t="shared" ca="1" si="0"/>
        <v>34</v>
      </c>
      <c r="E46" s="231">
        <f ca="1">IFERROR(OFFSET(E46,-1,0)+7,Settings!\cstart)</f>
        <v>43682</v>
      </c>
      <c r="F46" s="232"/>
      <c r="G46" s="679"/>
      <c r="H46" s="235">
        <f ca="1">IFERROR(INDEX('Rate Tables'!$B$5:$D$8,MATCH($E46,'Rate Tables'!$B$5:$B$8,-1),2),INDEX('Rate Tables'!$B$5:$D$8,1,2))*40*F46+((40*G46)*IFERROR(INDEX('Rate Tables'!$B$5:$D$8,MATCH($E46,'Rate Tables'!$B$5:$B$8,-1),3),INDEX('Rate Tables'!$B$5:$D$8,1,3)))</f>
        <v>0</v>
      </c>
      <c r="I46" s="233"/>
      <c r="J46" s="679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0</v>
      </c>
      <c r="L46" s="233"/>
      <c r="M46" s="679"/>
      <c r="N46" s="235">
        <f>INDEX('Rate Tables'!$B$33:$D$33,1,2)*40*L46+((40*M46)*INDEX('Rate Tables'!$B$33:$D$33,1,3))</f>
        <v>0</v>
      </c>
      <c r="O46" s="233"/>
      <c r="P46" s="679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79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79"/>
      <c r="W46" s="235">
        <f>INDEX('Rate Tables'!$B$51:$D$51,1,2)*40*U46+((40*V46)*INDEX('Rate Tables'!$B$51:$D$51,1,3))</f>
        <v>0</v>
      </c>
      <c r="X46" s="59"/>
      <c r="AJ46" s="233"/>
      <c r="AK46" s="683"/>
      <c r="AL46" s="679"/>
      <c r="AM46" s="235">
        <f t="shared" si="1"/>
        <v>0</v>
      </c>
    </row>
    <row r="47" spans="3:39" x14ac:dyDescent="0.25">
      <c r="C47" s="717"/>
      <c r="D47" s="230">
        <f t="shared" ca="1" si="0"/>
        <v>35</v>
      </c>
      <c r="E47" s="231">
        <f ca="1">IFERROR(OFFSET(E47,-1,0)+7,Settings!\cstart)</f>
        <v>43689</v>
      </c>
      <c r="F47" s="232"/>
      <c r="G47" s="679"/>
      <c r="H47" s="235">
        <f ca="1">IFERROR(INDEX('Rate Tables'!$B$5:$D$8,MATCH($E47,'Rate Tables'!$B$5:$B$8,-1),2),INDEX('Rate Tables'!$B$5:$D$8,1,2))*40*F47+((40*G47)*IFERROR(INDEX('Rate Tables'!$B$5:$D$8,MATCH($E47,'Rate Tables'!$B$5:$B$8,-1),3),INDEX('Rate Tables'!$B$5:$D$8,1,3)))</f>
        <v>0</v>
      </c>
      <c r="I47" s="233"/>
      <c r="J47" s="679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0</v>
      </c>
      <c r="L47" s="233"/>
      <c r="M47" s="679"/>
      <c r="N47" s="235">
        <f>INDEX('Rate Tables'!$B$33:$D$33,1,2)*40*L47+((40*M47)*INDEX('Rate Tables'!$B$33:$D$33,1,3))</f>
        <v>0</v>
      </c>
      <c r="O47" s="233"/>
      <c r="P47" s="679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79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79"/>
      <c r="W47" s="235">
        <f>INDEX('Rate Tables'!$B$51:$D$51,1,2)*40*U47+((40*V47)*INDEX('Rate Tables'!$B$51:$D$51,1,3))</f>
        <v>0</v>
      </c>
      <c r="X47" s="59"/>
      <c r="AJ47" s="233"/>
      <c r="AK47" s="683"/>
      <c r="AL47" s="679"/>
      <c r="AM47" s="235">
        <f t="shared" si="1"/>
        <v>0</v>
      </c>
    </row>
    <row r="48" spans="3:39" x14ac:dyDescent="0.25">
      <c r="C48" s="717"/>
      <c r="D48" s="230">
        <f t="shared" ca="1" si="0"/>
        <v>36</v>
      </c>
      <c r="E48" s="231">
        <f ca="1">IFERROR(OFFSET(E48,-1,0)+7,Settings!\cstart)</f>
        <v>43696</v>
      </c>
      <c r="F48" s="232"/>
      <c r="G48" s="679"/>
      <c r="H48" s="235">
        <f ca="1">IFERROR(INDEX('Rate Tables'!$B$5:$D$8,MATCH($E48,'Rate Tables'!$B$5:$B$8,-1),2),INDEX('Rate Tables'!$B$5:$D$8,1,2))*40*F48+((40*G48)*IFERROR(INDEX('Rate Tables'!$B$5:$D$8,MATCH($E48,'Rate Tables'!$B$5:$B$8,-1),3),INDEX('Rate Tables'!$B$5:$D$8,1,3)))</f>
        <v>0</v>
      </c>
      <c r="I48" s="233"/>
      <c r="J48" s="679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0</v>
      </c>
      <c r="L48" s="233"/>
      <c r="M48" s="679"/>
      <c r="N48" s="235">
        <f>INDEX('Rate Tables'!$B$33:$D$33,1,2)*40*L48+((40*M48)*INDEX('Rate Tables'!$B$33:$D$33,1,3))</f>
        <v>0</v>
      </c>
      <c r="O48" s="233"/>
      <c r="P48" s="679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79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79"/>
      <c r="W48" s="235">
        <f>INDEX('Rate Tables'!$B$51:$D$51,1,2)*40*U48+((40*V48)*INDEX('Rate Tables'!$B$51:$D$51,1,3))</f>
        <v>0</v>
      </c>
      <c r="X48" s="59"/>
      <c r="AJ48" s="233"/>
      <c r="AK48" s="683"/>
      <c r="AL48" s="679"/>
      <c r="AM48" s="235">
        <f t="shared" si="1"/>
        <v>0</v>
      </c>
    </row>
    <row r="49" spans="3:39" x14ac:dyDescent="0.25">
      <c r="C49" s="717"/>
      <c r="D49" s="230">
        <f t="shared" ca="1" si="0"/>
        <v>37</v>
      </c>
      <c r="E49" s="231">
        <f ca="1">IFERROR(OFFSET(E49,-1,0)+7,Settings!\cstart)</f>
        <v>43703</v>
      </c>
      <c r="F49" s="232"/>
      <c r="G49" s="679"/>
      <c r="H49" s="235">
        <f ca="1">IFERROR(INDEX('Rate Tables'!$B$5:$D$8,MATCH($E49,'Rate Tables'!$B$5:$B$8,-1),2),INDEX('Rate Tables'!$B$5:$D$8,1,2))*40*F49+((40*G49)*IFERROR(INDEX('Rate Tables'!$B$5:$D$8,MATCH($E49,'Rate Tables'!$B$5:$B$8,-1),3),INDEX('Rate Tables'!$B$5:$D$8,1,3)))</f>
        <v>0</v>
      </c>
      <c r="I49" s="233"/>
      <c r="J49" s="679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0</v>
      </c>
      <c r="L49" s="233"/>
      <c r="M49" s="679"/>
      <c r="N49" s="235">
        <f>INDEX('Rate Tables'!$B$33:$D$33,1,2)*40*L49+((40*M49)*INDEX('Rate Tables'!$B$33:$D$33,1,3))</f>
        <v>0</v>
      </c>
      <c r="O49" s="233"/>
      <c r="P49" s="679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79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79"/>
      <c r="W49" s="235">
        <f>INDEX('Rate Tables'!$B$51:$D$51,1,2)*40*U49+((40*V49)*INDEX('Rate Tables'!$B$51:$D$51,1,3))</f>
        <v>0</v>
      </c>
      <c r="X49" s="59"/>
      <c r="AJ49" s="233"/>
      <c r="AK49" s="683"/>
      <c r="AL49" s="679"/>
      <c r="AM49" s="235">
        <f t="shared" si="1"/>
        <v>0</v>
      </c>
    </row>
    <row r="50" spans="3:39" x14ac:dyDescent="0.25">
      <c r="C50" s="717"/>
      <c r="D50" s="230">
        <f t="shared" ca="1" si="0"/>
        <v>38</v>
      </c>
      <c r="E50" s="231">
        <f ca="1">IFERROR(OFFSET(E50,-1,0)+7,Settings!\cstart)</f>
        <v>43710</v>
      </c>
      <c r="F50" s="232"/>
      <c r="G50" s="679"/>
      <c r="H50" s="235">
        <f ca="1">IFERROR(INDEX('Rate Tables'!$B$5:$D$8,MATCH($E50,'Rate Tables'!$B$5:$B$8,-1),2),INDEX('Rate Tables'!$B$5:$D$8,1,2))*40*F50+((40*G50)*IFERROR(INDEX('Rate Tables'!$B$5:$D$8,MATCH($E50,'Rate Tables'!$B$5:$B$8,-1),3),INDEX('Rate Tables'!$B$5:$D$8,1,3)))</f>
        <v>0</v>
      </c>
      <c r="I50" s="233"/>
      <c r="J50" s="679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0</v>
      </c>
      <c r="L50" s="233"/>
      <c r="M50" s="679"/>
      <c r="N50" s="235">
        <f>INDEX('Rate Tables'!$B$33:$D$33,1,2)*40*L50+((40*M50)*INDEX('Rate Tables'!$B$33:$D$33,1,3))</f>
        <v>0</v>
      </c>
      <c r="O50" s="233"/>
      <c r="P50" s="679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79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79"/>
      <c r="W50" s="235">
        <f>INDEX('Rate Tables'!$B$51:$D$51,1,2)*40*U50+((40*V50)*INDEX('Rate Tables'!$B$51:$D$51,1,3))</f>
        <v>0</v>
      </c>
      <c r="X50" s="59"/>
      <c r="AJ50" s="233"/>
      <c r="AK50" s="683"/>
      <c r="AL50" s="679"/>
      <c r="AM50" s="235">
        <f t="shared" si="1"/>
        <v>0</v>
      </c>
    </row>
    <row r="51" spans="3:39" x14ac:dyDescent="0.25">
      <c r="C51" s="717"/>
      <c r="D51" s="230">
        <f t="shared" ca="1" si="0"/>
        <v>39</v>
      </c>
      <c r="E51" s="231">
        <f ca="1">IFERROR(OFFSET(E51,-1,0)+7,Settings!\cstart)</f>
        <v>43717</v>
      </c>
      <c r="F51" s="232"/>
      <c r="G51" s="679"/>
      <c r="H51" s="235">
        <f ca="1">IFERROR(INDEX('Rate Tables'!$B$5:$D$8,MATCH($E51,'Rate Tables'!$B$5:$B$8,-1),2),INDEX('Rate Tables'!$B$5:$D$8,1,2))*40*F51+((40*G51)*IFERROR(INDEX('Rate Tables'!$B$5:$D$8,MATCH($E51,'Rate Tables'!$B$5:$B$8,-1),3),INDEX('Rate Tables'!$B$5:$D$8,1,3)))</f>
        <v>0</v>
      </c>
      <c r="I51" s="233"/>
      <c r="J51" s="679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0</v>
      </c>
      <c r="L51" s="233"/>
      <c r="M51" s="679"/>
      <c r="N51" s="235">
        <f>INDEX('Rate Tables'!$B$33:$D$33,1,2)*40*L51+((40*M51)*INDEX('Rate Tables'!$B$33:$D$33,1,3))</f>
        <v>0</v>
      </c>
      <c r="O51" s="233"/>
      <c r="P51" s="679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79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79"/>
      <c r="W51" s="235">
        <f>INDEX('Rate Tables'!$B$51:$D$51,1,2)*40*U51+((40*V51)*INDEX('Rate Tables'!$B$51:$D$51,1,3))</f>
        <v>0</v>
      </c>
      <c r="X51" s="59"/>
      <c r="AJ51" s="233"/>
      <c r="AK51" s="683"/>
      <c r="AL51" s="679"/>
      <c r="AM51" s="235">
        <f t="shared" si="1"/>
        <v>0</v>
      </c>
    </row>
    <row r="52" spans="3:39" x14ac:dyDescent="0.25">
      <c r="C52" s="717"/>
      <c r="D52" s="230">
        <f t="shared" ca="1" si="0"/>
        <v>40</v>
      </c>
      <c r="E52" s="231">
        <f ca="1">IFERROR(OFFSET(E52,-1,0)+7,Settings!\cstart)</f>
        <v>43724</v>
      </c>
      <c r="F52" s="232"/>
      <c r="G52" s="679"/>
      <c r="H52" s="235">
        <f ca="1">IFERROR(INDEX('Rate Tables'!$B$5:$D$8,MATCH($E52,'Rate Tables'!$B$5:$B$8,-1),2),INDEX('Rate Tables'!$B$5:$D$8,1,2))*40*F52+((40*G52)*IFERROR(INDEX('Rate Tables'!$B$5:$D$8,MATCH($E52,'Rate Tables'!$B$5:$B$8,-1),3),INDEX('Rate Tables'!$B$5:$D$8,1,3)))</f>
        <v>0</v>
      </c>
      <c r="I52" s="233"/>
      <c r="J52" s="679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0</v>
      </c>
      <c r="L52" s="233"/>
      <c r="M52" s="679"/>
      <c r="N52" s="235">
        <f>INDEX('Rate Tables'!$B$33:$D$33,1,2)*40*L52+((40*M52)*INDEX('Rate Tables'!$B$33:$D$33,1,3))</f>
        <v>0</v>
      </c>
      <c r="O52" s="233"/>
      <c r="P52" s="679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79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79"/>
      <c r="W52" s="235">
        <f>INDEX('Rate Tables'!$B$51:$D$51,1,2)*40*U52+((40*V52)*INDEX('Rate Tables'!$B$51:$D$51,1,3))</f>
        <v>0</v>
      </c>
      <c r="X52" s="59"/>
      <c r="AJ52" s="233"/>
      <c r="AK52" s="683"/>
      <c r="AL52" s="679"/>
      <c r="AM52" s="235">
        <f t="shared" si="1"/>
        <v>0</v>
      </c>
    </row>
    <row r="53" spans="3:39" x14ac:dyDescent="0.25">
      <c r="C53" s="717"/>
      <c r="D53" s="230">
        <f t="shared" ca="1" si="0"/>
        <v>41</v>
      </c>
      <c r="E53" s="231">
        <f ca="1">IFERROR(OFFSET(E53,-1,0)+7,Settings!\cstart)</f>
        <v>43731</v>
      </c>
      <c r="F53" s="232"/>
      <c r="G53" s="679"/>
      <c r="H53" s="235">
        <f ca="1">IFERROR(INDEX('Rate Tables'!$B$5:$D$8,MATCH($E53,'Rate Tables'!$B$5:$B$8,-1),2),INDEX('Rate Tables'!$B$5:$D$8,1,2))*40*F53+((40*G53)*IFERROR(INDEX('Rate Tables'!$B$5:$D$8,MATCH($E53,'Rate Tables'!$B$5:$B$8,-1),3),INDEX('Rate Tables'!$B$5:$D$8,1,3)))</f>
        <v>0</v>
      </c>
      <c r="I53" s="233"/>
      <c r="J53" s="679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0</v>
      </c>
      <c r="L53" s="233"/>
      <c r="M53" s="679"/>
      <c r="N53" s="235">
        <f>INDEX('Rate Tables'!$B$33:$D$33,1,2)*40*L53+((40*M53)*INDEX('Rate Tables'!$B$33:$D$33,1,3))</f>
        <v>0</v>
      </c>
      <c r="O53" s="233"/>
      <c r="P53" s="679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79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79"/>
      <c r="W53" s="235">
        <f>INDEX('Rate Tables'!$B$51:$D$51,1,2)*40*U53+((40*V53)*INDEX('Rate Tables'!$B$51:$D$51,1,3))</f>
        <v>0</v>
      </c>
      <c r="X53" s="59"/>
      <c r="AJ53" s="233"/>
      <c r="AK53" s="683"/>
      <c r="AL53" s="679"/>
      <c r="AM53" s="235">
        <f t="shared" si="1"/>
        <v>0</v>
      </c>
    </row>
    <row r="54" spans="3:39" x14ac:dyDescent="0.25">
      <c r="C54" s="717"/>
      <c r="D54" s="230">
        <f t="shared" ca="1" si="0"/>
        <v>42</v>
      </c>
      <c r="E54" s="231">
        <f ca="1">IFERROR(OFFSET(E54,-1,0)+7,Settings!\cstart)</f>
        <v>43738</v>
      </c>
      <c r="F54" s="232"/>
      <c r="G54" s="679"/>
      <c r="H54" s="235">
        <f ca="1">IFERROR(INDEX('Rate Tables'!$B$5:$D$8,MATCH($E54,'Rate Tables'!$B$5:$B$8,-1),2),INDEX('Rate Tables'!$B$5:$D$8,1,2))*40*F54+((40*G54)*IFERROR(INDEX('Rate Tables'!$B$5:$D$8,MATCH($E54,'Rate Tables'!$B$5:$B$8,-1),3),INDEX('Rate Tables'!$B$5:$D$8,1,3)))</f>
        <v>0</v>
      </c>
      <c r="I54" s="233"/>
      <c r="J54" s="679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0</v>
      </c>
      <c r="L54" s="233"/>
      <c r="M54" s="679"/>
      <c r="N54" s="235">
        <f>INDEX('Rate Tables'!$B$33:$D$33,1,2)*40*L54+((40*M54)*INDEX('Rate Tables'!$B$33:$D$33,1,3))</f>
        <v>0</v>
      </c>
      <c r="O54" s="233"/>
      <c r="P54" s="679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79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79"/>
      <c r="W54" s="235">
        <f>INDEX('Rate Tables'!$B$51:$D$51,1,2)*40*U54+((40*V54)*INDEX('Rate Tables'!$B$51:$D$51,1,3))</f>
        <v>0</v>
      </c>
      <c r="X54" s="59"/>
      <c r="AJ54" s="233"/>
      <c r="AK54" s="683"/>
      <c r="AL54" s="679"/>
      <c r="AM54" s="235">
        <f t="shared" si="1"/>
        <v>0</v>
      </c>
    </row>
    <row r="55" spans="3:39" x14ac:dyDescent="0.25">
      <c r="C55" s="717"/>
      <c r="D55" s="230">
        <f t="shared" ca="1" si="0"/>
        <v>43</v>
      </c>
      <c r="E55" s="231">
        <f ca="1">IFERROR(OFFSET(E55,-1,0)+7,Settings!\cstart)</f>
        <v>43745</v>
      </c>
      <c r="F55" s="232"/>
      <c r="G55" s="679"/>
      <c r="H55" s="235">
        <f ca="1">IFERROR(INDEX('Rate Tables'!$B$5:$D$8,MATCH($E55,'Rate Tables'!$B$5:$B$8,-1),2),INDEX('Rate Tables'!$B$5:$D$8,1,2))*40*F55+((40*G55)*IFERROR(INDEX('Rate Tables'!$B$5:$D$8,MATCH($E55,'Rate Tables'!$B$5:$B$8,-1),3),INDEX('Rate Tables'!$B$5:$D$8,1,3)))</f>
        <v>0</v>
      </c>
      <c r="I55" s="233"/>
      <c r="J55" s="679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0</v>
      </c>
      <c r="L55" s="233"/>
      <c r="M55" s="679"/>
      <c r="N55" s="235">
        <f>INDEX('Rate Tables'!$B$33:$D$33,1,2)*40*L55+((40*M55)*INDEX('Rate Tables'!$B$33:$D$33,1,3))</f>
        <v>0</v>
      </c>
      <c r="O55" s="233"/>
      <c r="P55" s="679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79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79"/>
      <c r="W55" s="235">
        <f>INDEX('Rate Tables'!$B$51:$D$51,1,2)*40*U55+((40*V55)*INDEX('Rate Tables'!$B$51:$D$51,1,3))</f>
        <v>0</v>
      </c>
      <c r="X55" s="59"/>
      <c r="AJ55" s="233"/>
      <c r="AK55" s="683"/>
      <c r="AL55" s="679"/>
      <c r="AM55" s="235">
        <f t="shared" si="1"/>
        <v>0</v>
      </c>
    </row>
    <row r="56" spans="3:39" x14ac:dyDescent="0.25">
      <c r="C56" s="717"/>
      <c r="D56" s="230">
        <f t="shared" ca="1" si="0"/>
        <v>44</v>
      </c>
      <c r="E56" s="231">
        <f ca="1">IFERROR(OFFSET(E56,-1,0)+7,Settings!\cstart)</f>
        <v>43752</v>
      </c>
      <c r="F56" s="232"/>
      <c r="G56" s="679"/>
      <c r="H56" s="235">
        <f ca="1">IFERROR(INDEX('Rate Tables'!$B$5:$D$8,MATCH($E56,'Rate Tables'!$B$5:$B$8,-1),2),INDEX('Rate Tables'!$B$5:$D$8,1,2))*40*F56+((40*G56)*IFERROR(INDEX('Rate Tables'!$B$5:$D$8,MATCH($E56,'Rate Tables'!$B$5:$B$8,-1),3),INDEX('Rate Tables'!$B$5:$D$8,1,3)))</f>
        <v>0</v>
      </c>
      <c r="I56" s="233"/>
      <c r="J56" s="679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0</v>
      </c>
      <c r="L56" s="233"/>
      <c r="M56" s="679"/>
      <c r="N56" s="235">
        <f>INDEX('Rate Tables'!$B$33:$D$33,1,2)*40*L56+((40*M56)*INDEX('Rate Tables'!$B$33:$D$33,1,3))</f>
        <v>0</v>
      </c>
      <c r="O56" s="233"/>
      <c r="P56" s="679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79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79"/>
      <c r="W56" s="235">
        <f>INDEX('Rate Tables'!$B$51:$D$51,1,2)*40*U56+((40*V56)*INDEX('Rate Tables'!$B$51:$D$51,1,3))</f>
        <v>0</v>
      </c>
      <c r="X56" s="59"/>
      <c r="AJ56" s="233"/>
      <c r="AK56" s="683"/>
      <c r="AL56" s="679"/>
      <c r="AM56" s="235">
        <f t="shared" si="1"/>
        <v>0</v>
      </c>
    </row>
    <row r="57" spans="3:39" x14ac:dyDescent="0.25">
      <c r="C57" s="717"/>
      <c r="D57" s="230">
        <f t="shared" ca="1" si="0"/>
        <v>45</v>
      </c>
      <c r="E57" s="231">
        <f ca="1">IFERROR(OFFSET(E57,-1,0)+7,Settings!\cstart)</f>
        <v>43759</v>
      </c>
      <c r="F57" s="232"/>
      <c r="G57" s="679"/>
      <c r="H57" s="235">
        <f ca="1">IFERROR(INDEX('Rate Tables'!$B$5:$D$8,MATCH($E57,'Rate Tables'!$B$5:$B$8,-1),2),INDEX('Rate Tables'!$B$5:$D$8,1,2))*40*F57+((40*G57)*IFERROR(INDEX('Rate Tables'!$B$5:$D$8,MATCH($E57,'Rate Tables'!$B$5:$B$8,-1),3),INDEX('Rate Tables'!$B$5:$D$8,1,3)))</f>
        <v>0</v>
      </c>
      <c r="I57" s="233"/>
      <c r="J57" s="679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0</v>
      </c>
      <c r="L57" s="233"/>
      <c r="M57" s="679"/>
      <c r="N57" s="235">
        <f>INDEX('Rate Tables'!$B$33:$D$33,1,2)*40*L57+((40*M57)*INDEX('Rate Tables'!$B$33:$D$33,1,3))</f>
        <v>0</v>
      </c>
      <c r="O57" s="233"/>
      <c r="P57" s="679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79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79"/>
      <c r="W57" s="235">
        <f>INDEX('Rate Tables'!$B$51:$D$51,1,2)*40*U57+((40*V57)*INDEX('Rate Tables'!$B$51:$D$51,1,3))</f>
        <v>0</v>
      </c>
      <c r="X57" s="59"/>
      <c r="AJ57" s="233"/>
      <c r="AK57" s="683"/>
      <c r="AL57" s="679"/>
      <c r="AM57" s="235">
        <f t="shared" si="1"/>
        <v>0</v>
      </c>
    </row>
    <row r="58" spans="3:39" x14ac:dyDescent="0.25">
      <c r="C58" s="717"/>
      <c r="D58" s="230">
        <f t="shared" ca="1" si="0"/>
        <v>46</v>
      </c>
      <c r="E58" s="231">
        <f ca="1">IFERROR(OFFSET(E58,-1,0)+7,Settings!\cstart)</f>
        <v>43766</v>
      </c>
      <c r="F58" s="232"/>
      <c r="G58" s="679"/>
      <c r="H58" s="235">
        <f ca="1">IFERROR(INDEX('Rate Tables'!$B$5:$D$8,MATCH($E58,'Rate Tables'!$B$5:$B$8,-1),2),INDEX('Rate Tables'!$B$5:$D$8,1,2))*40*F58+((40*G58)*IFERROR(INDEX('Rate Tables'!$B$5:$D$8,MATCH($E58,'Rate Tables'!$B$5:$B$8,-1),3),INDEX('Rate Tables'!$B$5:$D$8,1,3)))</f>
        <v>0</v>
      </c>
      <c r="I58" s="233"/>
      <c r="J58" s="679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0</v>
      </c>
      <c r="L58" s="233"/>
      <c r="M58" s="679"/>
      <c r="N58" s="235">
        <f>INDEX('Rate Tables'!$B$33:$D$33,1,2)*40*L58+((40*M58)*INDEX('Rate Tables'!$B$33:$D$33,1,3))</f>
        <v>0</v>
      </c>
      <c r="O58" s="233"/>
      <c r="P58" s="679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79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79"/>
      <c r="W58" s="235">
        <f>INDEX('Rate Tables'!$B$51:$D$51,1,2)*40*U58+((40*V58)*INDEX('Rate Tables'!$B$51:$D$51,1,3))</f>
        <v>0</v>
      </c>
      <c r="X58" s="59"/>
      <c r="AJ58" s="233"/>
      <c r="AK58" s="683"/>
      <c r="AL58" s="679"/>
      <c r="AM58" s="235">
        <f t="shared" si="1"/>
        <v>0</v>
      </c>
    </row>
    <row r="59" spans="3:39" x14ac:dyDescent="0.25">
      <c r="C59" s="717"/>
      <c r="D59" s="230">
        <f t="shared" ca="1" si="0"/>
        <v>47</v>
      </c>
      <c r="E59" s="231">
        <f ca="1">IFERROR(OFFSET(E59,-1,0)+7,Settings!\cstart)</f>
        <v>43773</v>
      </c>
      <c r="F59" s="232"/>
      <c r="G59" s="679"/>
      <c r="H59" s="235">
        <f ca="1">IFERROR(INDEX('Rate Tables'!$B$5:$D$8,MATCH($E59,'Rate Tables'!$B$5:$B$8,-1),2),INDEX('Rate Tables'!$B$5:$D$8,1,2))*40*F59+((40*G59)*IFERROR(INDEX('Rate Tables'!$B$5:$D$8,MATCH($E59,'Rate Tables'!$B$5:$B$8,-1),3),INDEX('Rate Tables'!$B$5:$D$8,1,3)))</f>
        <v>0</v>
      </c>
      <c r="I59" s="233"/>
      <c r="J59" s="679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0</v>
      </c>
      <c r="L59" s="233"/>
      <c r="M59" s="679"/>
      <c r="N59" s="235">
        <f>INDEX('Rate Tables'!$B$33:$D$33,1,2)*40*L59+((40*M59)*INDEX('Rate Tables'!$B$33:$D$33,1,3))</f>
        <v>0</v>
      </c>
      <c r="O59" s="233"/>
      <c r="P59" s="679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79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79"/>
      <c r="W59" s="235">
        <f>INDEX('Rate Tables'!$B$51:$D$51,1,2)*40*U59+((40*V59)*INDEX('Rate Tables'!$B$51:$D$51,1,3))</f>
        <v>0</v>
      </c>
      <c r="X59" s="59"/>
      <c r="AJ59" s="233"/>
      <c r="AK59" s="683"/>
      <c r="AL59" s="679"/>
      <c r="AM59" s="235">
        <f t="shared" si="1"/>
        <v>0</v>
      </c>
    </row>
    <row r="60" spans="3:39" x14ac:dyDescent="0.25">
      <c r="C60" s="717"/>
      <c r="D60" s="230">
        <f t="shared" ca="1" si="0"/>
        <v>48</v>
      </c>
      <c r="E60" s="231">
        <f ca="1">IFERROR(OFFSET(E60,-1,0)+7,Settings!\cstart)</f>
        <v>43780</v>
      </c>
      <c r="F60" s="232"/>
      <c r="G60" s="679"/>
      <c r="H60" s="235">
        <f ca="1">IFERROR(INDEX('Rate Tables'!$B$5:$D$8,MATCH($E60,'Rate Tables'!$B$5:$B$8,-1),2),INDEX('Rate Tables'!$B$5:$D$8,1,2))*40*F60+((40*G60)*IFERROR(INDEX('Rate Tables'!$B$5:$D$8,MATCH($E60,'Rate Tables'!$B$5:$B$8,-1),3),INDEX('Rate Tables'!$B$5:$D$8,1,3)))</f>
        <v>0</v>
      </c>
      <c r="I60" s="233"/>
      <c r="J60" s="679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0</v>
      </c>
      <c r="L60" s="233"/>
      <c r="M60" s="679"/>
      <c r="N60" s="235">
        <f>INDEX('Rate Tables'!$B$33:$D$33,1,2)*40*L60+((40*M60)*INDEX('Rate Tables'!$B$33:$D$33,1,3))</f>
        <v>0</v>
      </c>
      <c r="O60" s="233"/>
      <c r="P60" s="679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79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79"/>
      <c r="W60" s="235">
        <f>INDEX('Rate Tables'!$B$51:$D$51,1,2)*40*U60+((40*V60)*INDEX('Rate Tables'!$B$51:$D$51,1,3))</f>
        <v>0</v>
      </c>
      <c r="X60" s="59"/>
      <c r="AJ60" s="233"/>
      <c r="AK60" s="683"/>
      <c r="AL60" s="679"/>
      <c r="AM60" s="235">
        <f t="shared" si="1"/>
        <v>0</v>
      </c>
    </row>
    <row r="61" spans="3:39" x14ac:dyDescent="0.25">
      <c r="C61" s="717"/>
      <c r="D61" s="230">
        <f t="shared" ca="1" si="0"/>
        <v>49</v>
      </c>
      <c r="E61" s="231">
        <f ca="1">IFERROR(OFFSET(E61,-1,0)+7,Settings!\cstart)</f>
        <v>43787</v>
      </c>
      <c r="F61" s="232"/>
      <c r="G61" s="679"/>
      <c r="H61" s="235">
        <f ca="1">IFERROR(INDEX('Rate Tables'!$B$5:$D$8,MATCH($E61,'Rate Tables'!$B$5:$B$8,-1),2),INDEX('Rate Tables'!$B$5:$D$8,1,2))*40*F61+((40*G61)*IFERROR(INDEX('Rate Tables'!$B$5:$D$8,MATCH($E61,'Rate Tables'!$B$5:$B$8,-1),3),INDEX('Rate Tables'!$B$5:$D$8,1,3)))</f>
        <v>0</v>
      </c>
      <c r="I61" s="233"/>
      <c r="J61" s="679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0</v>
      </c>
      <c r="L61" s="233"/>
      <c r="M61" s="679"/>
      <c r="N61" s="235">
        <f>INDEX('Rate Tables'!$B$33:$D$33,1,2)*40*L61+((40*M61)*INDEX('Rate Tables'!$B$33:$D$33,1,3))</f>
        <v>0</v>
      </c>
      <c r="O61" s="233"/>
      <c r="P61" s="679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79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79"/>
      <c r="W61" s="235">
        <f>INDEX('Rate Tables'!$B$51:$D$51,1,2)*40*U61+((40*V61)*INDEX('Rate Tables'!$B$51:$D$51,1,3))</f>
        <v>0</v>
      </c>
      <c r="X61" s="59"/>
      <c r="AJ61" s="233"/>
      <c r="AK61" s="683"/>
      <c r="AL61" s="679"/>
      <c r="AM61" s="235">
        <f t="shared" si="1"/>
        <v>0</v>
      </c>
    </row>
    <row r="62" spans="3:39" x14ac:dyDescent="0.25">
      <c r="C62" s="717"/>
      <c r="D62" s="230">
        <f t="shared" ca="1" si="0"/>
        <v>50</v>
      </c>
      <c r="E62" s="231">
        <f ca="1">IFERROR(OFFSET(E62,-1,0)+7,Settings!\cstart)</f>
        <v>43794</v>
      </c>
      <c r="F62" s="232"/>
      <c r="G62" s="679"/>
      <c r="H62" s="235">
        <f ca="1">IFERROR(INDEX('Rate Tables'!$B$5:$D$8,MATCH($E62,'Rate Tables'!$B$5:$B$8,-1),2),INDEX('Rate Tables'!$B$5:$D$8,1,2))*40*F62+((40*G62)*IFERROR(INDEX('Rate Tables'!$B$5:$D$8,MATCH($E62,'Rate Tables'!$B$5:$B$8,-1),3),INDEX('Rate Tables'!$B$5:$D$8,1,3)))</f>
        <v>0</v>
      </c>
      <c r="I62" s="233"/>
      <c r="J62" s="679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0</v>
      </c>
      <c r="L62" s="233"/>
      <c r="M62" s="679"/>
      <c r="N62" s="235">
        <f>INDEX('Rate Tables'!$B$33:$D$33,1,2)*40*L62+((40*M62)*INDEX('Rate Tables'!$B$33:$D$33,1,3))</f>
        <v>0</v>
      </c>
      <c r="O62" s="233"/>
      <c r="P62" s="679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79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79"/>
      <c r="W62" s="235">
        <f>INDEX('Rate Tables'!$B$51:$D$51,1,2)*40*U62+((40*V62)*INDEX('Rate Tables'!$B$51:$D$51,1,3))</f>
        <v>0</v>
      </c>
      <c r="X62" s="59"/>
      <c r="AJ62" s="233"/>
      <c r="AK62" s="683"/>
      <c r="AL62" s="679"/>
      <c r="AM62" s="235">
        <f t="shared" si="1"/>
        <v>0</v>
      </c>
    </row>
    <row r="63" spans="3:39" x14ac:dyDescent="0.25">
      <c r="C63" s="717"/>
      <c r="D63" s="230">
        <f t="shared" ca="1" si="0"/>
        <v>51</v>
      </c>
      <c r="E63" s="231">
        <f ca="1">IFERROR(OFFSET(E63,-1,0)+7,Settings!\cstart)</f>
        <v>43801</v>
      </c>
      <c r="F63" s="232"/>
      <c r="G63" s="679"/>
      <c r="H63" s="235">
        <f ca="1">IFERROR(INDEX('Rate Tables'!$B$5:$D$8,MATCH($E63,'Rate Tables'!$B$5:$B$8,-1),2),INDEX('Rate Tables'!$B$5:$D$8,1,2))*40*F63+((40*G63)*IFERROR(INDEX('Rate Tables'!$B$5:$D$8,MATCH($E63,'Rate Tables'!$B$5:$B$8,-1),3),INDEX('Rate Tables'!$B$5:$D$8,1,3)))</f>
        <v>0</v>
      </c>
      <c r="I63" s="233"/>
      <c r="J63" s="679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0</v>
      </c>
      <c r="L63" s="233"/>
      <c r="M63" s="679"/>
      <c r="N63" s="235">
        <f>INDEX('Rate Tables'!$B$33:$D$33,1,2)*40*L63+((40*M63)*INDEX('Rate Tables'!$B$33:$D$33,1,3))</f>
        <v>0</v>
      </c>
      <c r="O63" s="233"/>
      <c r="P63" s="679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79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79"/>
      <c r="W63" s="235">
        <f>INDEX('Rate Tables'!$B$51:$D$51,1,2)*40*U63+((40*V63)*INDEX('Rate Tables'!$B$51:$D$51,1,3))</f>
        <v>0</v>
      </c>
      <c r="X63" s="59"/>
      <c r="AJ63" s="233"/>
      <c r="AK63" s="683"/>
      <c r="AL63" s="679"/>
      <c r="AM63" s="235">
        <f t="shared" si="1"/>
        <v>0</v>
      </c>
    </row>
    <row r="64" spans="3:39" ht="15.75" thickBot="1" x14ac:dyDescent="0.3">
      <c r="C64" s="717"/>
      <c r="D64" s="230">
        <f t="shared" ca="1" si="0"/>
        <v>52</v>
      </c>
      <c r="E64" s="231">
        <f ca="1">IFERROR(OFFSET(E64,-1,0)+7,Settings!\cstart)</f>
        <v>43808</v>
      </c>
      <c r="F64" s="232"/>
      <c r="G64" s="679"/>
      <c r="H64" s="235">
        <f ca="1">IFERROR(INDEX('Rate Tables'!$B$5:$D$8,MATCH($E64,'Rate Tables'!$B$5:$B$8,-1),2),INDEX('Rate Tables'!$B$5:$D$8,1,2))*40*F64+((40*G64)*IFERROR(INDEX('Rate Tables'!$B$5:$D$8,MATCH($E64,'Rate Tables'!$B$5:$B$8,-1),3),INDEX('Rate Tables'!$B$5:$D$8,1,3)))</f>
        <v>0</v>
      </c>
      <c r="I64" s="233"/>
      <c r="J64" s="679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0</v>
      </c>
      <c r="L64" s="233"/>
      <c r="M64" s="679"/>
      <c r="N64" s="235">
        <f>INDEX('Rate Tables'!$B$33:$D$33,1,2)*40*L64+((40*M64)*INDEX('Rate Tables'!$B$33:$D$33,1,3))</f>
        <v>0</v>
      </c>
      <c r="O64" s="233"/>
      <c r="P64" s="679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79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79"/>
      <c r="W64" s="235">
        <f>INDEX('Rate Tables'!$B$51:$D$51,1,2)*40*U64+((40*V64)*INDEX('Rate Tables'!$B$51:$D$51,1,3))</f>
        <v>0</v>
      </c>
      <c r="X64" s="59"/>
      <c r="AJ64" s="233"/>
      <c r="AK64" s="683"/>
      <c r="AL64" s="679"/>
      <c r="AM64" s="235">
        <f t="shared" si="1"/>
        <v>0</v>
      </c>
    </row>
    <row r="65" spans="1:39" x14ac:dyDescent="0.25">
      <c r="C65" s="689"/>
      <c r="D65" s="325" t="s">
        <v>419</v>
      </c>
      <c r="E65" s="63"/>
      <c r="F65" s="225"/>
      <c r="G65" s="227"/>
      <c r="H65" s="228">
        <f ca="1">SUMIF(H12:OFFSET(H65,-1,0),"&gt;=0")</f>
        <v>0</v>
      </c>
      <c r="I65" s="682">
        <f>SUM(I13:I64)</f>
        <v>0</v>
      </c>
      <c r="J65" s="227"/>
      <c r="K65" s="228">
        <f ca="1">SUMIF(K12:OFFSET(K65,-1,0),"&gt;=0")</f>
        <v>0</v>
      </c>
      <c r="L65" s="226"/>
      <c r="M65" s="227"/>
      <c r="N65" s="228">
        <f ca="1">SUMIF(N12:OFFSET(N65,-1,0),"&gt;=0")</f>
        <v>0</v>
      </c>
      <c r="O65" s="226"/>
      <c r="P65" s="227"/>
      <c r="Q65" s="228">
        <f ca="1">SUMIF(Q12:OFFSET(Q65,-1,0),"&gt;=0")</f>
        <v>0</v>
      </c>
      <c r="R65" s="226"/>
      <c r="S65" s="227"/>
      <c r="T65" s="228">
        <f ca="1">SUMIF(T12:OFFSET(T65,-1,0),"&gt;=0")</f>
        <v>0</v>
      </c>
      <c r="U65" s="226"/>
      <c r="V65" s="227"/>
      <c r="W65" s="228">
        <f ca="1">SUMIF(W12:OFFSET(W65,-1,0),"&gt;=0")</f>
        <v>0</v>
      </c>
      <c r="X65" s="59"/>
      <c r="AJ65" s="226"/>
      <c r="AK65" s="226"/>
      <c r="AL65" s="227"/>
      <c r="AM65" s="228">
        <f ca="1">SUMIF(AM12:OFFSET(AM65,-1,0),"&gt;=0")</f>
        <v>0</v>
      </c>
    </row>
    <row r="66" spans="1:39" s="311" customFormat="1" x14ac:dyDescent="0.25">
      <c r="A66" s="677"/>
      <c r="C66" s="324"/>
      <c r="D66" s="326" t="s">
        <v>959</v>
      </c>
      <c r="E66" s="222"/>
      <c r="F66" s="222"/>
      <c r="G66" s="255"/>
      <c r="H66" s="255">
        <f t="array" aca="1" ref="H66" ca="1">SUM((IF((OFFSET(F12,1,0):OFFSET(F65,-1,0)&lt;=1)*(OFFSET(F12,1,0):OFFSET(F65,-1,0)&gt;0),OFFSET(F12,1,0):OFFSET(F65,-1,0),IF(OFFSET(F12,1,0):OFFSET(F65,-1,0)&gt;1,1,0)))*40*IFERROR(INDEX('Rate Tables'!$B$12:$D$15,MATCH(OFFSET($E12,1,0):OFFSET($E65,-1,0),'Rate Tables'!$B$12:$B$15,-1),2),INDEX('Rate Tables'!$B$12:$D$15,1,2)) +(OFFSET(G12,1,0):OFFSET(G65,-1,0))*40*IFERROR(INDEX('Rate Tables'!$B$12:$D$15,MATCH(OFFSET($E12,1,0):OFFSET($E65,-1,0),'Rate Tables'!$B$12:$B$15,-1),3),INDEX('Rate Tables'!$B$12:$D$15,1,3)) )</f>
        <v>0</v>
      </c>
      <c r="I66" s="254"/>
      <c r="J66" s="676"/>
      <c r="K66" s="255">
        <f t="array" aca="1" ref="K66" ca="1">SUM((IF((OFFSET(I12,1,0):OFFSET(I65,-1,0)&lt;=1)*(OFFSET(I12,1,0):OFFSET(I65,-1,0)&gt;0),OFFSET(I12,1,0):OFFSET(I65,-1,0),IF(OFFSET(I12,1,0):OFFSET(I65,-1,0)&gt;1,1,0)))*40*IFERROR(INDEX('Rate Tables'!$B$26:$D$29,MATCH(OFFSET($E12,1,0):OFFSET($E65,-1,0),'Rate Tables'!$B$26:$B$29,-1),2),INDEX('Rate Tables'!$B$26:$D$29,1,2)) +(OFFSET(J12,1,0):OFFSET(J65,-1,0))*40*IFERROR(INDEX('Rate Tables'!$B$26:$D$29,MATCH(OFFSET($E12,1,0):OFFSET($E65,-1,0),'Rate Tables'!$B$26:$B$29,-1),3),INDEX('Rate Tables'!$B$26:$D$29,1,3)) )</f>
        <v>0</v>
      </c>
      <c r="L66" s="254"/>
      <c r="M66" s="676"/>
      <c r="N66" s="255"/>
      <c r="O66" s="254"/>
      <c r="P66" s="676"/>
      <c r="Q66" s="255"/>
      <c r="R66" s="254"/>
      <c r="S66" s="676"/>
      <c r="T66" s="255"/>
      <c r="U66" s="254"/>
      <c r="V66" s="676"/>
      <c r="W66" s="255"/>
      <c r="X66" s="333"/>
      <c r="AJ66" s="254"/>
      <c r="AK66" s="254"/>
      <c r="AL66" s="676"/>
      <c r="AM66" s="255"/>
    </row>
    <row r="67" spans="1:39" ht="22.5" customHeight="1" thickBot="1" x14ac:dyDescent="0.35">
      <c r="C67" s="60"/>
      <c r="D67" s="601" t="s">
        <v>960</v>
      </c>
      <c r="E67" s="168"/>
      <c r="F67" s="64"/>
      <c r="G67" s="602" t="str">
        <f ca="1">IFERROR(H67/#REF!,"")</f>
        <v/>
      </c>
      <c r="H67" s="167">
        <f ca="1">SUM(H65:H66)</f>
        <v>0</v>
      </c>
      <c r="I67" s="64"/>
      <c r="J67" s="602" t="str">
        <f ca="1">IFERROR(K67/#REF!,"")</f>
        <v/>
      </c>
      <c r="K67" s="167">
        <f ca="1">SUM(K65:K66)</f>
        <v>0</v>
      </c>
      <c r="L67" s="64"/>
      <c r="M67" s="602" t="str">
        <f ca="1">IFERROR(N67/#REF!,"")</f>
        <v/>
      </c>
      <c r="N67" s="167">
        <f ca="1">SUM(N65:N66)</f>
        <v>0</v>
      </c>
      <c r="O67" s="64"/>
      <c r="P67" s="602" t="str">
        <f ca="1">IFERROR(Q67/#REF!,"")</f>
        <v/>
      </c>
      <c r="Q67" s="167">
        <f ca="1">SUM(Q65:Q66)</f>
        <v>0</v>
      </c>
      <c r="R67" s="64"/>
      <c r="S67" s="602" t="str">
        <f ca="1">IFERROR(T67/#REF!,"")</f>
        <v/>
      </c>
      <c r="T67" s="167">
        <f ca="1">SUM(T65:T66)</f>
        <v>0</v>
      </c>
      <c r="U67" s="64"/>
      <c r="V67" s="602" t="str">
        <f ca="1">IFERROR(W67/#REF!,"")</f>
        <v/>
      </c>
      <c r="W67" s="167">
        <f ca="1">SUM(W65:W66)</f>
        <v>0</v>
      </c>
      <c r="X67" s="59"/>
      <c r="AJ67" s="64"/>
      <c r="AK67" s="64"/>
      <c r="AL67" s="602" t="str">
        <f ca="1">IFERROR(AM67/#REF!,"")</f>
        <v/>
      </c>
      <c r="AM67" s="167">
        <f ca="1">SUM(AM65:AM66)</f>
        <v>0</v>
      </c>
    </row>
    <row r="68" spans="1:39" x14ac:dyDescent="0.25">
      <c r="D68" s="334"/>
      <c r="E68" s="334"/>
      <c r="F68" s="334"/>
      <c r="G68" s="334"/>
      <c r="H68" s="334"/>
      <c r="I68" s="334"/>
      <c r="J68" s="334"/>
      <c r="K68" s="334"/>
      <c r="L68" s="334"/>
      <c r="M68" s="334"/>
      <c r="N68" s="334"/>
      <c r="O68" s="334"/>
      <c r="P68" s="334"/>
      <c r="Q68" s="334"/>
      <c r="R68" s="334"/>
      <c r="S68" s="334"/>
      <c r="T68" s="334"/>
      <c r="U68" s="334"/>
      <c r="V68" s="334"/>
      <c r="W68" s="334"/>
      <c r="AJ68" s="334"/>
      <c r="AK68" s="334"/>
      <c r="AL68" s="334"/>
      <c r="AM68" s="334"/>
    </row>
    <row r="69" spans="1:39" x14ac:dyDescent="0.25"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</row>
    <row r="71" spans="1:39" ht="15.75" hidden="1" thickBot="1" x14ac:dyDescent="0.3">
      <c r="C71" s="229"/>
      <c r="D71" s="230">
        <f ca="1">IFERROR(OFFSET(D71,-1,0)+1,1)</f>
        <v>1</v>
      </c>
      <c r="E71" s="231">
        <f ca="1">IFERROR(OFFSET(E71,-1,0)+7,Settings!\cstart)</f>
        <v>7</v>
      </c>
      <c r="F71" s="232"/>
      <c r="G71" s="679"/>
      <c r="H71" s="235">
        <f ca="1">IFERROR(INDEX('Rate Tables'!$B$5:$D$8,MATCH($E71,'Rate Tables'!$B$5:$B$8,-1),2),INDEX('Rate Tables'!$B$5:$D$8,1,2))*40*F71+((40*G71)*IFERROR(INDEX('Rate Tables'!$B$5:$D$8,MATCH($E71,'Rate Tables'!$B$5:$B$8,-1),3),INDEX('Rate Tables'!$B$5:$D$8,1,3)))</f>
        <v>0</v>
      </c>
      <c r="I71" s="233"/>
      <c r="J71" s="679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0</v>
      </c>
      <c r="L71" s="233"/>
      <c r="M71" s="679"/>
      <c r="N71" s="235">
        <f>INDEX('Rate Tables'!$B$33:$D$33,1,2)*40*L71+((40*M71)*INDEX('Rate Tables'!$B$33:$D$33,1,3))</f>
        <v>0</v>
      </c>
      <c r="O71" s="233"/>
      <c r="P71" s="679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79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79"/>
      <c r="W71" s="235">
        <f>INDEX('Rate Tables'!$B$51:$D$51,1,2)*40*U71+((40*V71)*INDEX('Rate Tables'!$B$51:$D$51,1,3))</f>
        <v>0</v>
      </c>
      <c r="X71" s="59"/>
      <c r="AJ71" s="233"/>
      <c r="AK71" s="683"/>
      <c r="AL71" s="679"/>
      <c r="AM71" s="235">
        <f>(AJ71*AK71*40)+(AL71*40*1.27*AK71)</f>
        <v>0</v>
      </c>
    </row>
  </sheetData>
  <sheetProtection sheet="1" scenarios="1" formatCells="0" formatColumns="0" formatRows="0" insertHyperlinks="0" sort="0" autoFilter="0" pivotTables="0"/>
  <mergeCells count="10">
    <mergeCell ref="C13:C64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C6" sqref="C6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2" spans="2:25" x14ac:dyDescent="0.25">
      <c r="B2" s="681">
        <v>43618</v>
      </c>
      <c r="C2">
        <f>MATCH(B2,B5:B8,1)</f>
        <v>4</v>
      </c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78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78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78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78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973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78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78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78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78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78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78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78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78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78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78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78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78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78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78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974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78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78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78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78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78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78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78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78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78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78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78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78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78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78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78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78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78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78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78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78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78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78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78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78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78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78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78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78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sheet="1" scenarios="1" formatCells="0" formatColumns="0" formatRows="0" insertHyperlink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312"/>
  <sheetViews>
    <sheetView zoomScaleNormal="100" workbookViewId="0">
      <pane ySplit="8" topLeftCell="A9" activePane="bottomLeft" state="frozen"/>
      <selection activeCell="C6" sqref="C6"/>
      <selection pane="bottomLeft" activeCell="E23" sqref="E23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18" t="s">
        <v>396</v>
      </c>
      <c r="F2" s="718"/>
      <c r="G2" s="21"/>
      <c r="H2" s="21"/>
      <c r="I2" s="165"/>
      <c r="J2" s="719" t="e">
        <f ca="1">SUMIF(O9:O97,"[",K9:K97)</f>
        <v>#NAME?</v>
      </c>
      <c r="K2" s="719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0" t="s">
        <v>396</v>
      </c>
      <c r="F3" s="720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 t="e">
        <f ca="1">Settings!\wdur</f>
        <v>#NAME?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 t="e">
        <f ca="1">Settings!\duration</f>
        <v>#NAME?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/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 t="e">
        <f ca="1">SUMIF(O32:O44,1,K32:K44)</f>
        <v>#NAME?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4">SUM(H32*J32)</f>
        <v>0</v>
      </c>
      <c r="L32" s="39"/>
      <c r="M32" s="138"/>
      <c r="N32" s="139"/>
      <c r="O32" s="140">
        <f t="shared" ref="O32:O37" si="5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4"/>
        <v>0</v>
      </c>
      <c r="L33" s="39"/>
      <c r="M33" s="138"/>
      <c r="N33" s="139"/>
      <c r="O33" s="140">
        <f t="shared" si="5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4"/>
        <v>0</v>
      </c>
      <c r="L34" s="39"/>
      <c r="M34" s="138"/>
      <c r="N34" s="139"/>
      <c r="O34" s="140">
        <f t="shared" si="5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4"/>
        <v>0</v>
      </c>
      <c r="L35" s="39"/>
      <c r="M35" s="138"/>
      <c r="N35" s="139"/>
      <c r="O35" s="140">
        <f t="shared" si="5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 t="e">
        <f ca="1">tbl('GCs Detail'!\t_copiers,staffcounter)</f>
        <v>#NAME?</v>
      </c>
      <c r="K36" s="193" t="e">
        <f t="shared" ca="1" si="4"/>
        <v>#NAME?</v>
      </c>
      <c r="L36" s="39"/>
      <c r="M36" s="138"/>
      <c r="N36" s="139"/>
      <c r="O36" s="140">
        <f t="shared" si="5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4"/>
        <v>0</v>
      </c>
      <c r="L37" s="39"/>
      <c r="M37" s="138"/>
      <c r="N37" s="139"/>
      <c r="O37" s="140">
        <f t="shared" si="5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4"/>
        <v>0</v>
      </c>
      <c r="L38" s="39"/>
      <c r="M38" s="138"/>
      <c r="N38" s="139"/>
      <c r="O38" s="140">
        <f t="shared" ref="O38:O43" si="6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4"/>
        <v>0</v>
      </c>
      <c r="L39" s="39"/>
      <c r="M39" s="138"/>
      <c r="N39" s="139"/>
      <c r="O39" s="140">
        <f t="shared" si="6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4"/>
        <v>0</v>
      </c>
      <c r="L40" s="39"/>
      <c r="M40" s="138"/>
      <c r="N40" s="139"/>
      <c r="O40" s="140">
        <f t="shared" si="6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4"/>
        <v>0</v>
      </c>
      <c r="L41" s="39"/>
      <c r="M41" s="138"/>
      <c r="N41" s="139"/>
      <c r="O41" s="140">
        <f t="shared" si="6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4"/>
        <v>0</v>
      </c>
      <c r="L42" s="39"/>
      <c r="M42" s="138"/>
      <c r="N42" s="139"/>
      <c r="O42" s="140">
        <f t="shared" ref="O42" si="7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4"/>
        <v>0</v>
      </c>
      <c r="L43" s="39"/>
      <c r="M43" s="138"/>
      <c r="N43" s="139"/>
      <c r="O43" s="140">
        <f t="shared" si="6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8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8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9">SUM(H48*J48)</f>
        <v>0</v>
      </c>
      <c r="L48" s="39"/>
      <c r="M48" s="138"/>
      <c r="N48" s="139"/>
      <c r="O48" s="140">
        <f t="shared" si="8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9"/>
        <v>0</v>
      </c>
      <c r="L49" s="39"/>
      <c r="M49" s="138"/>
      <c r="N49" s="139"/>
      <c r="O49" s="140">
        <f t="shared" si="8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9"/>
        <v>0</v>
      </c>
      <c r="L50" s="39"/>
      <c r="M50" s="138"/>
      <c r="N50" s="139"/>
      <c r="O50" s="140">
        <f t="shared" si="8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9"/>
        <v>0</v>
      </c>
      <c r="L51" s="39"/>
      <c r="M51" s="138"/>
      <c r="N51" s="139"/>
      <c r="O51" s="140">
        <f t="shared" si="8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9"/>
        <v>0</v>
      </c>
      <c r="L52" s="39"/>
      <c r="M52" s="138"/>
      <c r="N52" s="139"/>
      <c r="O52" s="140">
        <f t="shared" si="8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9"/>
        <v>0</v>
      </c>
      <c r="L53" s="39"/>
      <c r="M53" s="138"/>
      <c r="N53" s="139"/>
      <c r="O53" s="140">
        <f t="shared" si="8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9"/>
        <v>0</v>
      </c>
      <c r="L54" s="39"/>
      <c r="M54" s="138"/>
      <c r="N54" s="139"/>
      <c r="O54" s="140">
        <f t="shared" si="8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9"/>
        <v>0</v>
      </c>
      <c r="L55" s="39"/>
      <c r="M55" s="138"/>
      <c r="N55" s="139"/>
      <c r="O55" s="140">
        <f t="shared" si="8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8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23" t="s">
        <v>193</v>
      </c>
      <c r="F59" s="724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0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23" t="s">
        <v>407</v>
      </c>
      <c r="F60" s="724"/>
      <c r="G60" s="144"/>
      <c r="H60" s="199">
        <v>0</v>
      </c>
      <c r="I60" s="188" t="s">
        <v>72</v>
      </c>
      <c r="J60" s="207">
        <v>2265</v>
      </c>
      <c r="K60" s="193">
        <f t="shared" ref="K60:K65" si="11">SUM(H60*J60)</f>
        <v>0</v>
      </c>
      <c r="L60" s="39"/>
      <c r="M60" s="138"/>
      <c r="N60" s="139"/>
      <c r="O60" s="140">
        <f t="shared" si="10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27" t="s">
        <v>405</v>
      </c>
      <c r="F61" s="728"/>
      <c r="G61" s="144"/>
      <c r="H61" s="199">
        <v>0</v>
      </c>
      <c r="I61" s="188" t="s">
        <v>72</v>
      </c>
      <c r="J61" s="207">
        <v>1500</v>
      </c>
      <c r="K61" s="193">
        <f t="shared" si="11"/>
        <v>0</v>
      </c>
      <c r="L61" s="39"/>
      <c r="M61" s="138"/>
      <c r="N61" s="139"/>
      <c r="O61" s="140">
        <f t="shared" si="10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27" t="s">
        <v>406</v>
      </c>
      <c r="F62" s="728"/>
      <c r="G62" s="153"/>
      <c r="H62" s="208">
        <v>0</v>
      </c>
      <c r="I62" s="209" t="s">
        <v>72</v>
      </c>
      <c r="J62" s="207">
        <v>4500</v>
      </c>
      <c r="K62" s="193">
        <f t="shared" si="11"/>
        <v>0</v>
      </c>
      <c r="L62" s="39"/>
      <c r="M62" s="138"/>
      <c r="N62" s="139"/>
      <c r="O62" s="140">
        <f t="shared" si="10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29" t="s">
        <v>194</v>
      </c>
      <c r="F63" s="730"/>
      <c r="G63" s="144"/>
      <c r="H63" s="199">
        <v>0</v>
      </c>
      <c r="I63" s="188" t="s">
        <v>72</v>
      </c>
      <c r="J63" s="207">
        <v>150</v>
      </c>
      <c r="K63" s="193">
        <f t="shared" si="11"/>
        <v>0</v>
      </c>
      <c r="L63" s="39"/>
      <c r="M63" s="138"/>
      <c r="N63" s="139"/>
      <c r="O63" s="140">
        <f t="shared" si="10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29" t="s">
        <v>195</v>
      </c>
      <c r="F64" s="730"/>
      <c r="G64" s="144"/>
      <c r="H64" s="199">
        <v>0</v>
      </c>
      <c r="I64" s="188" t="s">
        <v>72</v>
      </c>
      <c r="J64" s="207">
        <v>150</v>
      </c>
      <c r="K64" s="193">
        <f t="shared" si="11"/>
        <v>0</v>
      </c>
      <c r="L64" s="39"/>
      <c r="M64" s="138"/>
      <c r="N64" s="139"/>
      <c r="O64" s="140">
        <f t="shared" si="10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29" t="s">
        <v>196</v>
      </c>
      <c r="F65" s="730"/>
      <c r="G65" s="144"/>
      <c r="H65" s="199">
        <v>0</v>
      </c>
      <c r="I65" s="188" t="s">
        <v>72</v>
      </c>
      <c r="J65" s="207">
        <v>450</v>
      </c>
      <c r="K65" s="193">
        <f t="shared" si="11"/>
        <v>0</v>
      </c>
      <c r="L65" s="39"/>
      <c r="M65" s="138"/>
      <c r="N65" s="139"/>
      <c r="O65" s="140">
        <f t="shared" si="10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23" t="s">
        <v>197</v>
      </c>
      <c r="F66" s="724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0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23" t="s">
        <v>426</v>
      </c>
      <c r="F67" s="724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0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23" t="s">
        <v>198</v>
      </c>
      <c r="F68" s="724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0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1" t="s">
        <v>199</v>
      </c>
      <c r="F69" s="722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0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5" t="s">
        <v>200</v>
      </c>
      <c r="F72" s="726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5" t="s">
        <v>203</v>
      </c>
      <c r="F78" s="726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2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2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3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23" t="s">
        <v>321</v>
      </c>
      <c r="F86" s="724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3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1" t="s">
        <v>322</v>
      </c>
      <c r="F87" s="722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3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23" t="s">
        <v>211</v>
      </c>
      <c r="F91" s="724"/>
      <c r="G91" s="144"/>
      <c r="H91" s="185">
        <v>0</v>
      </c>
      <c r="I91" s="187" t="s">
        <v>18</v>
      </c>
      <c r="J91" s="207">
        <v>0</v>
      </c>
      <c r="K91" s="191">
        <f t="shared" ref="K91:K93" si="14">SUM(H91*J91)</f>
        <v>0</v>
      </c>
      <c r="L91" s="39"/>
      <c r="M91" s="138"/>
      <c r="N91" s="139"/>
      <c r="O91" s="140">
        <f t="shared" ref="O91:O92" si="15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23" t="s">
        <v>453</v>
      </c>
      <c r="F92" s="724"/>
      <c r="G92" s="144"/>
      <c r="H92" s="185">
        <v>0</v>
      </c>
      <c r="I92" s="187" t="s">
        <v>18</v>
      </c>
      <c r="J92" s="207">
        <v>0</v>
      </c>
      <c r="K92" s="191">
        <f t="shared" si="14"/>
        <v>0</v>
      </c>
      <c r="L92" s="39"/>
      <c r="M92" s="138"/>
      <c r="N92" s="139"/>
      <c r="O92" s="140">
        <f t="shared" si="15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23" t="s">
        <v>454</v>
      </c>
      <c r="F93" s="724"/>
      <c r="G93" s="144"/>
      <c r="H93" s="185">
        <v>0</v>
      </c>
      <c r="I93" s="187" t="s">
        <v>18</v>
      </c>
      <c r="J93" s="207">
        <v>0</v>
      </c>
      <c r="K93" s="191">
        <f t="shared" si="14"/>
        <v>0</v>
      </c>
      <c r="L93" s="39"/>
      <c r="M93" s="138"/>
      <c r="N93" s="139"/>
      <c r="O93" s="140">
        <f t="shared" ref="O93" si="16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 t="e">
        <f ca="1">tbl(\t_trailer,E1)</f>
        <v>#NAME?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 t="e">
        <f ca="1">trailertbl(E119,E118)</f>
        <v>#NAME?</v>
      </c>
      <c r="K119" s="245" t="e">
        <f ca="1">SUM(J119*H119)</f>
        <v>#NAME?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 t="e">
        <f ca="1">trailertbl(E120,E118)</f>
        <v>#NAME?</v>
      </c>
      <c r="K120" s="245" t="e">
        <f t="shared" ref="K120:K126" ca="1" si="17">SUM(J120*H120)</f>
        <v>#NAME?</v>
      </c>
      <c r="L120" s="39"/>
      <c r="M120" s="138"/>
      <c r="N120" s="42"/>
      <c r="O120" s="305">
        <f t="shared" ref="O120:O126" si="18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 t="e">
        <f ca="1">trailertbl(E121,E118)</f>
        <v>#NAME?</v>
      </c>
      <c r="K121" s="245" t="e">
        <f t="shared" ca="1" si="17"/>
        <v>#NAME?</v>
      </c>
      <c r="L121" s="39"/>
      <c r="M121" s="138"/>
      <c r="N121" s="42"/>
      <c r="O121" s="305">
        <f t="shared" si="18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 t="e">
        <f ca="1">trailertbl(E122,E118)</f>
        <v>#NAME?</v>
      </c>
      <c r="K122" s="245" t="e">
        <f t="shared" ca="1" si="17"/>
        <v>#NAME?</v>
      </c>
      <c r="L122" s="39"/>
      <c r="M122" s="138"/>
      <c r="N122" s="42"/>
      <c r="O122" s="305">
        <f t="shared" si="18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 t="e">
        <f ca="1">trailertbl(E123,E118)</f>
        <v>#NAME?</v>
      </c>
      <c r="K123" s="245" t="e">
        <f t="shared" ca="1" si="17"/>
        <v>#NAME?</v>
      </c>
      <c r="L123" s="39"/>
      <c r="M123" s="138"/>
      <c r="N123" s="42"/>
      <c r="O123" s="305">
        <f t="shared" si="18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 t="e">
        <f ca="1">trailertbl(E124,E118)</f>
        <v>#NAME?</v>
      </c>
      <c r="K124" s="245" t="e">
        <f t="shared" ca="1" si="17"/>
        <v>#NAME?</v>
      </c>
      <c r="L124" s="39"/>
      <c r="M124" s="138"/>
      <c r="N124" s="42"/>
      <c r="O124" s="305">
        <f t="shared" si="18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 t="e">
        <f ca="1">trailertbl(E125,E118)</f>
        <v>#NAME?</v>
      </c>
      <c r="K125" s="245" t="e">
        <f t="shared" ca="1" si="17"/>
        <v>#NAME?</v>
      </c>
      <c r="L125" s="39"/>
      <c r="M125" s="138"/>
      <c r="N125" s="42"/>
      <c r="O125" s="305">
        <f t="shared" si="18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 t="e">
        <f ca="1">trailertbl(E126,E118)</f>
        <v>#NAME?</v>
      </c>
      <c r="K126" s="245" t="e">
        <f t="shared" ca="1" si="17"/>
        <v>#NAME?</v>
      </c>
      <c r="L126" s="39"/>
      <c r="M126" s="138"/>
      <c r="N126" s="42"/>
      <c r="O126" s="305">
        <f t="shared" si="18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  <row r="248" ht="13.9" customHeight="1" x14ac:dyDescent="0.2"/>
    <row r="249" ht="13.9" customHeight="1" x14ac:dyDescent="0.2"/>
    <row r="250" ht="13.9" customHeight="1" x14ac:dyDescent="0.2"/>
    <row r="251" ht="13.9" customHeight="1" x14ac:dyDescent="0.2"/>
    <row r="252" ht="13.9" customHeight="1" x14ac:dyDescent="0.2"/>
    <row r="253" ht="13.9" customHeight="1" x14ac:dyDescent="0.2"/>
    <row r="254" ht="13.9" customHeight="1" x14ac:dyDescent="0.2"/>
    <row r="255" ht="13.9" customHeight="1" x14ac:dyDescent="0.2"/>
    <row r="256" ht="13.9" customHeight="1" x14ac:dyDescent="0.2"/>
    <row r="257" ht="13.9" customHeight="1" x14ac:dyDescent="0.2"/>
    <row r="258" ht="13.9" customHeight="1" x14ac:dyDescent="0.2"/>
    <row r="259" ht="13.9" customHeight="1" x14ac:dyDescent="0.2"/>
    <row r="260" ht="13.9" customHeight="1" x14ac:dyDescent="0.2"/>
    <row r="261" ht="13.9" customHeight="1" x14ac:dyDescent="0.2"/>
    <row r="262" ht="13.9" customHeight="1" x14ac:dyDescent="0.2"/>
    <row r="263" ht="13.9" customHeight="1" x14ac:dyDescent="0.2"/>
    <row r="264" ht="13.9" customHeight="1" x14ac:dyDescent="0.2"/>
    <row r="265" ht="13.9" customHeight="1" x14ac:dyDescent="0.2"/>
    <row r="266" ht="13.9" customHeight="1" x14ac:dyDescent="0.2"/>
    <row r="267" ht="13.9" customHeight="1" x14ac:dyDescent="0.2"/>
    <row r="268" ht="13.9" customHeight="1" x14ac:dyDescent="0.2"/>
    <row r="269" ht="13.9" customHeight="1" x14ac:dyDescent="0.2"/>
    <row r="270" ht="13.9" customHeight="1" x14ac:dyDescent="0.2"/>
    <row r="271" ht="13.9" customHeight="1" x14ac:dyDescent="0.2"/>
    <row r="272" ht="13.9" customHeight="1" x14ac:dyDescent="0.2"/>
    <row r="273" ht="13.9" customHeight="1" x14ac:dyDescent="0.2"/>
    <row r="274" ht="13.9" customHeight="1" x14ac:dyDescent="0.2"/>
    <row r="275" ht="13.9" customHeight="1" x14ac:dyDescent="0.2"/>
    <row r="276" ht="13.9" customHeight="1" x14ac:dyDescent="0.2"/>
    <row r="277" ht="13.9" customHeight="1" x14ac:dyDescent="0.2"/>
    <row r="278" ht="13.9" customHeight="1" x14ac:dyDescent="0.2"/>
    <row r="279" ht="13.9" customHeight="1" x14ac:dyDescent="0.2"/>
    <row r="280" ht="13.9" customHeight="1" x14ac:dyDescent="0.2"/>
    <row r="281" ht="13.9" customHeight="1" x14ac:dyDescent="0.2"/>
    <row r="282" ht="13.9" customHeight="1" x14ac:dyDescent="0.2"/>
    <row r="283" ht="13.9" customHeight="1" x14ac:dyDescent="0.2"/>
    <row r="284" ht="13.9" customHeight="1" x14ac:dyDescent="0.2"/>
    <row r="285" ht="13.9" customHeight="1" x14ac:dyDescent="0.2"/>
    <row r="286" ht="13.9" customHeight="1" x14ac:dyDescent="0.2"/>
    <row r="287" ht="13.9" customHeight="1" x14ac:dyDescent="0.2"/>
    <row r="288" ht="13.9" customHeight="1" x14ac:dyDescent="0.2"/>
    <row r="289" ht="13.9" customHeight="1" x14ac:dyDescent="0.2"/>
    <row r="290" ht="13.9" customHeight="1" x14ac:dyDescent="0.2"/>
    <row r="291" ht="13.9" customHeight="1" x14ac:dyDescent="0.2"/>
    <row r="292" ht="13.9" customHeight="1" x14ac:dyDescent="0.2"/>
    <row r="293" ht="13.9" customHeight="1" x14ac:dyDescent="0.2"/>
    <row r="294" ht="13.9" customHeight="1" x14ac:dyDescent="0.2"/>
    <row r="295" ht="13.9" customHeight="1" x14ac:dyDescent="0.2"/>
    <row r="296" ht="13.9" customHeight="1" x14ac:dyDescent="0.2"/>
    <row r="297" ht="13.9" customHeight="1" x14ac:dyDescent="0.2"/>
    <row r="298" ht="13.9" customHeight="1" x14ac:dyDescent="0.2"/>
    <row r="299" ht="13.9" customHeight="1" x14ac:dyDescent="0.2"/>
    <row r="300" ht="13.9" customHeight="1" x14ac:dyDescent="0.2"/>
    <row r="301" ht="13.9" customHeight="1" x14ac:dyDescent="0.2"/>
    <row r="302" ht="13.9" customHeight="1" x14ac:dyDescent="0.2"/>
    <row r="303" ht="13.9" customHeight="1" x14ac:dyDescent="0.2"/>
    <row r="304" ht="13.9" customHeight="1" x14ac:dyDescent="0.2"/>
    <row r="305" ht="13.9" customHeight="1" x14ac:dyDescent="0.2"/>
    <row r="306" ht="13.9" customHeight="1" x14ac:dyDescent="0.2"/>
    <row r="307" ht="13.9" customHeight="1" x14ac:dyDescent="0.2"/>
    <row r="308" ht="13.9" customHeight="1" x14ac:dyDescent="0.2"/>
    <row r="309" ht="13.9" customHeight="1" x14ac:dyDescent="0.2"/>
    <row r="310" ht="13.9" customHeight="1" x14ac:dyDescent="0.2"/>
    <row r="311" ht="13.9" customHeight="1" x14ac:dyDescent="0.2"/>
    <row r="312" ht="13.9" customHeight="1" x14ac:dyDescent="0.2"/>
  </sheetData>
  <sheetProtection sheet="1" scenarios="1" formatCells="0" formatColumns="0" formatRows="0" insertHyperlinks="0" sort="0" autoFilter="0" pivotTables="0"/>
  <mergeCells count="21">
    <mergeCell ref="E93:F93"/>
    <mergeCell ref="E78:F78"/>
    <mergeCell ref="E86:F86"/>
    <mergeCell ref="E68:F68"/>
    <mergeCell ref="E91:F91"/>
    <mergeCell ref="E92:F92"/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41"/>
  <sheetViews>
    <sheetView zoomScaleNormal="100" workbookViewId="0">
      <pane ySplit="8" topLeftCell="A9" activePane="bottomLeft" state="frozen"/>
      <selection activeCell="C6" sqref="C6"/>
      <selection pane="bottomLeft" activeCell="E197" sqref="E197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18" t="s">
        <v>396</v>
      </c>
      <c r="F2" s="718"/>
      <c r="G2" s="21"/>
      <c r="H2" s="21"/>
      <c r="I2" s="165"/>
      <c r="J2" s="719">
        <f ca="1">SUMIF(O9:O200,"[",K9:K200)</f>
        <v>0</v>
      </c>
      <c r="K2" s="719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0" t="s">
        <v>396</v>
      </c>
      <c r="F3" s="720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 t="e">
        <f ca="1">Settings!\wdur</f>
        <v>#NAME?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 t="e">
        <f ca="1">Settings!\duration</f>
        <v>#NAME?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1"/>
      <c r="B14" s="53"/>
      <c r="C14" s="8"/>
      <c r="D14" s="135"/>
      <c r="E14" s="256" t="s">
        <v>17</v>
      </c>
      <c r="F14" s="257"/>
      <c r="G14" s="203"/>
      <c r="H14" s="199">
        <f>'Staff Detail'!$AV$12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1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2" t="s">
        <v>428</v>
      </c>
      <c r="F34" s="733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23" t="s">
        <v>35</v>
      </c>
      <c r="F37" s="724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23" t="s">
        <v>37</v>
      </c>
      <c r="F38" s="724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27" t="s">
        <v>38</v>
      </c>
      <c r="F39" s="728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23" t="s">
        <v>429</v>
      </c>
      <c r="F53" s="724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1" t="s">
        <v>464</v>
      </c>
      <c r="F64" s="722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23" t="s">
        <v>70</v>
      </c>
      <c r="F87" s="724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1" t="s">
        <v>75</v>
      </c>
      <c r="F94" s="722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'Non-Staff Labor'!H67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'Non-Staff Labor'!K67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'Non-Staff Labor'!N67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'Non-Staff Labor'!Q67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'Non-Staff Labor'!T67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'Non-Staff Labor'!W67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 t="e">
        <f ca="1">tbl(\t_trailer,E1)</f>
        <v>#NAME?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  <row r="238" spans="1:20" ht="13.9" hidden="1" customHeight="1" x14ac:dyDescent="0.2"/>
    <row r="239" spans="1:20" ht="13.9" hidden="1" customHeight="1" x14ac:dyDescent="0.2"/>
    <row r="240" spans="1:20" ht="13.9" hidden="1" customHeight="1" x14ac:dyDescent="0.2"/>
    <row r="241" ht="13.9" hidden="1" customHeight="1" x14ac:dyDescent="0.2"/>
  </sheetData>
  <sheetProtection sheet="1" scenarios="1" formatCells="0" formatColumns="0" formatRows="0" insertHyperlinks="0" sort="0" autoFilter="0" pivotTables="0"/>
  <mergeCells count="12">
    <mergeCell ref="E2:F2"/>
    <mergeCell ref="J2:K2"/>
    <mergeCell ref="E3:F3"/>
    <mergeCell ref="A14:A15"/>
    <mergeCell ref="E34:F34"/>
    <mergeCell ref="E37:F37"/>
    <mergeCell ref="E38:F38"/>
    <mergeCell ref="E94:F94"/>
    <mergeCell ref="E53:F53"/>
    <mergeCell ref="E64:F64"/>
    <mergeCell ref="E87:F87"/>
    <mergeCell ref="E39:F39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49"/>
  <sheetViews>
    <sheetView topLeftCell="A22" zoomScale="85" zoomScaleNormal="85" workbookViewId="0">
      <selection activeCell="E41" sqref="E41"/>
    </sheetView>
  </sheetViews>
  <sheetFormatPr defaultColWidth="0" defaultRowHeight="0" customHeight="1" zeroHeight="1" x14ac:dyDescent="0.25"/>
  <cols>
    <col min="1" max="1" width="1.7109375" style="2" customWidth="1"/>
    <col min="2" max="2" width="29.7109375" style="2" customWidth="1"/>
    <col min="3" max="3" width="2.28515625" style="2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customWidth="1"/>
  </cols>
  <sheetData>
    <row r="1" spans="2:14" ht="41.45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43333.416436111111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Detail'!AD13</f>
        <v>0</v>
      </c>
      <c r="J10" s="172">
        <f>'Staff Detail'!AF13</f>
        <v>0</v>
      </c>
      <c r="K10" s="172" t="s">
        <v>36</v>
      </c>
      <c r="L10" s="173">
        <f t="shared" ref="L10:L14" si="0">J10*I10</f>
        <v>0</v>
      </c>
      <c r="M10" s="92"/>
      <c r="N10" s="73"/>
    </row>
    <row r="11" spans="2:14" ht="18.75" customHeight="1" x14ac:dyDescent="0.25">
      <c r="C11" s="34"/>
      <c r="D11" s="81"/>
      <c r="E11" s="88" t="str">
        <f>'Staff Detail'!B14</f>
        <v xml:space="preserve">Sr. Project Manager 1 </v>
      </c>
      <c r="F11" s="117">
        <f>'Staff Detail'!C14</f>
        <v>0</v>
      </c>
      <c r="G11" s="89"/>
      <c r="H11" s="237">
        <f>'Staff Detail'!K14</f>
        <v>0.32333333333333336</v>
      </c>
      <c r="I11" s="238" t="e">
        <f ca="1">'Staff Detail'!AD14</f>
        <v>#NAME?</v>
      </c>
      <c r="J11" s="239">
        <f>'Staff Detail'!AF14</f>
        <v>4.2957142857142863</v>
      </c>
      <c r="K11" s="240" t="s">
        <v>36</v>
      </c>
      <c r="L11" s="241" t="e">
        <f t="shared" ref="L11" ca="1" si="1">J11*I11</f>
        <v>#NAME?</v>
      </c>
      <c r="M11" s="92"/>
      <c r="N11" s="73"/>
    </row>
    <row r="12" spans="2:14" ht="18.75" customHeight="1" x14ac:dyDescent="0.25">
      <c r="C12" s="34"/>
      <c r="D12" s="81"/>
      <c r="E12" s="88" t="str">
        <f>'Staff Detail'!B15</f>
        <v xml:space="preserve">Sr. Superintendent 2 </v>
      </c>
      <c r="F12" s="117">
        <f>'Staff Detail'!C15</f>
        <v>0</v>
      </c>
      <c r="G12" s="89"/>
      <c r="H12" s="237">
        <f>'Staff Detail'!K15</f>
        <v>1</v>
      </c>
      <c r="I12" s="238" t="e">
        <f ca="1">'Staff Detail'!AD15</f>
        <v>#NAME?</v>
      </c>
      <c r="J12" s="239">
        <f>'Staff Detail'!AF15</f>
        <v>13.285714285714286</v>
      </c>
      <c r="K12" s="240" t="s">
        <v>36</v>
      </c>
      <c r="L12" s="241" t="e">
        <f t="shared" ref="L12" ca="1" si="2">J12*I12</f>
        <v>#NAME?</v>
      </c>
      <c r="M12" s="92"/>
      <c r="N12" s="73"/>
    </row>
    <row r="13" spans="2:14" ht="18.75" customHeight="1" x14ac:dyDescent="0.25">
      <c r="C13" s="34"/>
      <c r="D13" s="81"/>
      <c r="E13" s="88" t="str">
        <f>'Staff Detail'!B16</f>
        <v xml:space="preserve">Superintendent 1 </v>
      </c>
      <c r="F13" s="117">
        <f>'Staff Detail'!C16</f>
        <v>0</v>
      </c>
      <c r="G13" s="89"/>
      <c r="H13" s="237">
        <f>'Staff Detail'!K16</f>
        <v>1</v>
      </c>
      <c r="I13" s="238" t="e">
        <f ca="1">'Staff Detail'!AD16</f>
        <v>#NAME?</v>
      </c>
      <c r="J13" s="239">
        <f>'Staff Detail'!AF16</f>
        <v>13.285714285714286</v>
      </c>
      <c r="K13" s="240" t="s">
        <v>36</v>
      </c>
      <c r="L13" s="241" t="e">
        <f t="shared" ref="L13" ca="1" si="3">J13*I13</f>
        <v>#NAME?</v>
      </c>
      <c r="M13" s="92"/>
      <c r="N13" s="73"/>
    </row>
    <row r="14" spans="2:14" ht="21.6" customHeight="1" x14ac:dyDescent="0.25">
      <c r="C14" s="34"/>
      <c r="D14" s="81"/>
      <c r="E14" s="174" t="str">
        <f>'Staff Detail'!B18</f>
        <v>Construction</v>
      </c>
      <c r="F14" s="242">
        <f>'Staff Detail'!C18</f>
        <v>0</v>
      </c>
      <c r="G14" s="89"/>
      <c r="H14" s="170">
        <f>'Staff Detail'!K18</f>
        <v>0</v>
      </c>
      <c r="I14" s="171">
        <f>'Staff Detail'!AD18</f>
        <v>0</v>
      </c>
      <c r="J14" s="172">
        <f>'Staff Detail'!AF18</f>
        <v>0</v>
      </c>
      <c r="K14" s="172" t="s">
        <v>36</v>
      </c>
      <c r="L14" s="173">
        <f t="shared" si="0"/>
        <v>0</v>
      </c>
      <c r="M14" s="92"/>
      <c r="N14" s="73"/>
    </row>
    <row r="15" spans="2:14" ht="18.75" customHeight="1" x14ac:dyDescent="0.25">
      <c r="C15" s="34"/>
      <c r="D15" s="81"/>
      <c r="E15" s="88" t="str">
        <f>'Staff Detail'!B19</f>
        <v>Safety Manager 2</v>
      </c>
      <c r="F15" s="117">
        <f>'Staff Detail'!C19</f>
        <v>0</v>
      </c>
      <c r="G15" s="89"/>
      <c r="H15" s="237">
        <f>'Staff Detail'!K19</f>
        <v>9.9999999999999992E-2</v>
      </c>
      <c r="I15" s="238" t="e">
        <f ca="1">'Staff Detail'!AD19</f>
        <v>#NAME?</v>
      </c>
      <c r="J15" s="239">
        <f>'Staff Detail'!AF19</f>
        <v>5.2142857142857144</v>
      </c>
      <c r="K15" s="240" t="s">
        <v>36</v>
      </c>
      <c r="L15" s="241" t="e">
        <f t="shared" ref="L15" ca="1" si="4">J15*I15</f>
        <v>#NAME?</v>
      </c>
      <c r="M15" s="92"/>
      <c r="N15" s="73"/>
    </row>
    <row r="16" spans="2:14" ht="18.75" customHeight="1" x14ac:dyDescent="0.25">
      <c r="C16" s="34"/>
      <c r="D16" s="81"/>
      <c r="E16" s="88" t="str">
        <f>'Staff Detail'!B20</f>
        <v>Safety Manager 1</v>
      </c>
      <c r="F16" s="117">
        <f>'Staff Detail'!C20</f>
        <v>0</v>
      </c>
      <c r="G16" s="89"/>
      <c r="H16" s="237">
        <f>'Staff Detail'!K20</f>
        <v>0.5</v>
      </c>
      <c r="I16" s="238" t="e">
        <f ca="1">'Staff Detail'!AD20</f>
        <v>#NAME?</v>
      </c>
      <c r="J16" s="239">
        <f>'Staff Detail'!AF20</f>
        <v>26.071428571428573</v>
      </c>
      <c r="K16" s="240" t="s">
        <v>36</v>
      </c>
      <c r="L16" s="241" t="e">
        <f t="shared" ref="L16" ca="1" si="5">J16*I16</f>
        <v>#NAME?</v>
      </c>
      <c r="M16" s="92"/>
      <c r="N16" s="73"/>
    </row>
    <row r="17" spans="3:14" ht="18.75" customHeight="1" x14ac:dyDescent="0.25">
      <c r="C17" s="34"/>
      <c r="D17" s="81"/>
      <c r="E17" s="551" t="str">
        <f>'Staff Detail'!B21</f>
        <v>New Phase:</v>
      </c>
      <c r="F17" s="552">
        <f>'Staff Detail'!C21</f>
        <v>0</v>
      </c>
      <c r="G17" s="553"/>
      <c r="H17" s="553">
        <f>'Staff Detail'!K21</f>
        <v>0</v>
      </c>
      <c r="I17" s="554">
        <f>'Staff Detail'!AD21</f>
        <v>0</v>
      </c>
      <c r="J17" s="555">
        <f>'Staff Detail'!AF21</f>
        <v>0</v>
      </c>
      <c r="K17" s="556" t="s">
        <v>36</v>
      </c>
      <c r="L17" s="557">
        <f t="shared" ref="L17" si="6">J17*I17</f>
        <v>0</v>
      </c>
      <c r="M17" s="557"/>
      <c r="N17" s="73"/>
    </row>
    <row r="18" spans="3:14" ht="18.75" customHeight="1" x14ac:dyDescent="0.25">
      <c r="C18" s="34"/>
      <c r="D18" s="81"/>
      <c r="E18" s="88" t="str">
        <f>'Staff Detail'!B22</f>
        <v>General Superintendent</v>
      </c>
      <c r="F18" s="117">
        <f>'Staff Detail'!C22</f>
        <v>0</v>
      </c>
      <c r="G18" s="89"/>
      <c r="H18" s="237">
        <f>'Staff Detail'!K22</f>
        <v>0</v>
      </c>
      <c r="I18" s="238" t="e">
        <f ca="1">'Staff Detail'!AD22</f>
        <v>#VALUE!</v>
      </c>
      <c r="J18" s="239" t="e">
        <f>'Staff Detail'!AF22</f>
        <v>#VALUE!</v>
      </c>
      <c r="K18" s="240" t="s">
        <v>36</v>
      </c>
      <c r="L18" s="241" t="e">
        <f t="shared" ref="L18" ca="1" si="7">J18*I18</f>
        <v>#VALUE!</v>
      </c>
      <c r="M18" s="92"/>
      <c r="N18" s="73"/>
    </row>
    <row r="19" spans="3:14" ht="18.75" customHeight="1" x14ac:dyDescent="0.25">
      <c r="C19" s="34"/>
      <c r="D19" s="81"/>
      <c r="E19" s="88" t="str">
        <f>'Staff Detail'!B23</f>
        <v xml:space="preserve">Sr. Superintendent 1 </v>
      </c>
      <c r="F19" s="117">
        <f>'Staff Detail'!C23</f>
        <v>0</v>
      </c>
      <c r="G19" s="89"/>
      <c r="H19" s="237">
        <f>'Staff Detail'!K23</f>
        <v>0</v>
      </c>
      <c r="I19" s="238" t="e">
        <f ca="1">'Staff Detail'!AD23</f>
        <v>#VALUE!</v>
      </c>
      <c r="J19" s="239" t="e">
        <f>'Staff Detail'!AF23</f>
        <v>#VALUE!</v>
      </c>
      <c r="K19" s="240" t="s">
        <v>36</v>
      </c>
      <c r="L19" s="241" t="e">
        <f t="shared" ref="L19" ca="1" si="8">J19*I19</f>
        <v>#VALUE!</v>
      </c>
      <c r="M19" s="92"/>
      <c r="N19" s="73"/>
    </row>
    <row r="20" spans="3:14" ht="18.75" customHeight="1" x14ac:dyDescent="0.25">
      <c r="C20" s="34"/>
      <c r="D20" s="81"/>
      <c r="E20" s="88" t="str">
        <f>'Staff Detail'!B24</f>
        <v>Superintendent 2</v>
      </c>
      <c r="F20" s="117">
        <f>'Staff Detail'!C24</f>
        <v>0</v>
      </c>
      <c r="G20" s="89"/>
      <c r="H20" s="237">
        <f>'Staff Detail'!K24</f>
        <v>0</v>
      </c>
      <c r="I20" s="238" t="e">
        <f ca="1">'Staff Detail'!AD24</f>
        <v>#VALUE!</v>
      </c>
      <c r="J20" s="239" t="e">
        <f>'Staff Detail'!AF24</f>
        <v>#VALUE!</v>
      </c>
      <c r="K20" s="240" t="s">
        <v>36</v>
      </c>
      <c r="L20" s="241" t="e">
        <f t="shared" ref="L20" ca="1" si="9">J20*I20</f>
        <v>#VALUE!</v>
      </c>
      <c r="M20" s="92"/>
      <c r="N20" s="73"/>
    </row>
    <row r="21" spans="3:14" ht="18.75" customHeight="1" x14ac:dyDescent="0.25">
      <c r="C21" s="34"/>
      <c r="D21" s="81"/>
      <c r="E21" s="551" t="str">
        <f>'Staff Detail'!B25</f>
        <v>New Phase:</v>
      </c>
      <c r="F21" s="552">
        <f>'Staff Detail'!C25</f>
        <v>0</v>
      </c>
      <c r="G21" s="553"/>
      <c r="H21" s="553">
        <f>'Staff Detail'!K25</f>
        <v>0</v>
      </c>
      <c r="I21" s="554">
        <f>'Staff Detail'!AD25</f>
        <v>0</v>
      </c>
      <c r="J21" s="555">
        <f>'Staff Detail'!AF25</f>
        <v>0</v>
      </c>
      <c r="K21" s="556" t="s">
        <v>36</v>
      </c>
      <c r="L21" s="557">
        <f t="shared" ref="L21" si="10">J21*I21</f>
        <v>0</v>
      </c>
      <c r="M21" s="557"/>
      <c r="N21" s="73"/>
    </row>
    <row r="22" spans="3:14" ht="18.75" customHeight="1" x14ac:dyDescent="0.25">
      <c r="C22" s="34"/>
      <c r="D22" s="81"/>
      <c r="E22" s="88" t="str">
        <f>'Staff Detail'!B26</f>
        <v xml:space="preserve">Project Executive 2 </v>
      </c>
      <c r="F22" s="117">
        <f>'Staff Detail'!C26</f>
        <v>0</v>
      </c>
      <c r="G22" s="89"/>
      <c r="H22" s="237">
        <f>'Staff Detail'!K26</f>
        <v>0</v>
      </c>
      <c r="I22" s="238" t="e">
        <f ca="1">'Staff Detail'!AD26</f>
        <v>#VALUE!</v>
      </c>
      <c r="J22" s="239" t="e">
        <f>'Staff Detail'!AF26</f>
        <v>#VALUE!</v>
      </c>
      <c r="K22" s="240" t="s">
        <v>36</v>
      </c>
      <c r="L22" s="241" t="e">
        <f t="shared" ref="L22" ca="1" si="11">J22*I22</f>
        <v>#VALUE!</v>
      </c>
      <c r="M22" s="92"/>
      <c r="N22" s="73"/>
    </row>
    <row r="23" spans="3:14" ht="18.75" customHeight="1" x14ac:dyDescent="0.25">
      <c r="C23" s="34"/>
      <c r="D23" s="81"/>
      <c r="E23" s="88" t="str">
        <f>'Staff Detail'!B27</f>
        <v xml:space="preserve">Project Manager 1 </v>
      </c>
      <c r="F23" s="117">
        <f>'Staff Detail'!C27</f>
        <v>0</v>
      </c>
      <c r="G23" s="89"/>
      <c r="H23" s="237">
        <f>'Staff Detail'!K27</f>
        <v>0</v>
      </c>
      <c r="I23" s="238" t="e">
        <f ca="1">'Staff Detail'!AD27</f>
        <v>#VALUE!</v>
      </c>
      <c r="J23" s="239" t="e">
        <f>'Staff Detail'!AF27</f>
        <v>#VALUE!</v>
      </c>
      <c r="K23" s="240" t="s">
        <v>36</v>
      </c>
      <c r="L23" s="241" t="e">
        <f t="shared" ref="L23" ca="1" si="12">J23*I23</f>
        <v>#VALUE!</v>
      </c>
      <c r="M23" s="92"/>
      <c r="N23" s="73"/>
    </row>
    <row r="24" spans="3:14" ht="18.75" customHeight="1" x14ac:dyDescent="0.25">
      <c r="C24" s="34"/>
      <c r="D24" s="81"/>
      <c r="E24" s="550">
        <f>'Staff Detail'!B28</f>
        <v>0</v>
      </c>
      <c r="F24" s="117"/>
      <c r="G24" s="89"/>
      <c r="H24" s="237"/>
      <c r="I24" s="238"/>
      <c r="J24" s="239"/>
      <c r="K24" s="240"/>
      <c r="L24" s="241"/>
      <c r="M24" s="582"/>
      <c r="N24" s="73"/>
    </row>
    <row r="25" spans="3:14" ht="18.75" customHeight="1" x14ac:dyDescent="0.25">
      <c r="C25" s="34"/>
      <c r="D25" s="81"/>
      <c r="E25" s="583" t="s">
        <v>956</v>
      </c>
      <c r="F25" s="584"/>
      <c r="G25" s="585"/>
      <c r="H25" s="586"/>
      <c r="I25" s="587"/>
      <c r="J25" s="588"/>
      <c r="K25" s="589"/>
      <c r="L25" s="590" t="e">
        <f ca="1">SUM(L10:L24)</f>
        <v>#NAME?</v>
      </c>
      <c r="M25" s="92"/>
      <c r="N25" s="73"/>
    </row>
    <row r="26" spans="3:14" ht="21.6" customHeight="1" x14ac:dyDescent="0.25">
      <c r="C26" s="34"/>
      <c r="D26" s="81"/>
      <c r="E26" s="88"/>
      <c r="F26" s="117"/>
      <c r="G26" s="89"/>
      <c r="H26" s="122"/>
      <c r="I26" s="118"/>
      <c r="J26" s="119"/>
      <c r="K26" s="119"/>
      <c r="L26" s="120"/>
      <c r="M26" s="92"/>
      <c r="N26" s="73"/>
    </row>
    <row r="27" spans="3:14" ht="18.75" customHeight="1" x14ac:dyDescent="0.25">
      <c r="C27" s="34"/>
      <c r="D27" s="81"/>
      <c r="E27" s="82" t="str">
        <f>'GCs Detail'!$E9</f>
        <v>PROJECT STAFFING EXPENSES</v>
      </c>
      <c r="F27" s="576"/>
      <c r="G27" s="553"/>
      <c r="H27" s="553"/>
      <c r="I27" s="554">
        <f>'GCs Detail'!$J9</f>
        <v>0</v>
      </c>
      <c r="J27" s="555">
        <f>'GCs Detail'!$H9</f>
        <v>0</v>
      </c>
      <c r="K27" s="556">
        <f>'GCs Detail'!$I9</f>
        <v>0</v>
      </c>
      <c r="L27" s="557">
        <f t="shared" ref="L27:L58" si="13">$I27*$J27</f>
        <v>0</v>
      </c>
      <c r="M27" s="92"/>
      <c r="N27" s="73"/>
    </row>
    <row r="28" spans="3:14" ht="18.75" customHeight="1" x14ac:dyDescent="0.25">
      <c r="C28" s="34"/>
      <c r="D28" s="81"/>
      <c r="E28" s="88" t="str">
        <f>'GCs Detail'!$E10</f>
        <v>Weekly Parking Fees</v>
      </c>
      <c r="F28" s="117"/>
      <c r="G28" s="89"/>
      <c r="H28" s="237"/>
      <c r="I28" s="238">
        <f>'GCs Detail'!$J10</f>
        <v>300</v>
      </c>
      <c r="J28" s="239">
        <f>'GCs Detail'!$H10</f>
        <v>0</v>
      </c>
      <c r="K28" s="240" t="str">
        <f>'GCs Detail'!$I10</f>
        <v>wks</v>
      </c>
      <c r="L28" s="241">
        <f t="shared" si="13"/>
        <v>0</v>
      </c>
      <c r="M28" s="92"/>
      <c r="N28" s="73"/>
    </row>
    <row r="29" spans="3:14" ht="18.75" customHeight="1" x14ac:dyDescent="0.25">
      <c r="C29" s="34"/>
      <c r="D29" s="81"/>
      <c r="E29" s="88" t="str">
        <f>'GCs Detail'!$E11</f>
        <v>Recruiting Charges</v>
      </c>
      <c r="F29" s="117"/>
      <c r="G29" s="89"/>
      <c r="H29" s="237"/>
      <c r="I29" s="238">
        <f>'GCs Detail'!$J11</f>
        <v>0</v>
      </c>
      <c r="J29" s="239">
        <f>'GCs Detail'!$H11</f>
        <v>0</v>
      </c>
      <c r="K29" s="240" t="str">
        <f>'GCs Detail'!$I11</f>
        <v>lsum</v>
      </c>
      <c r="L29" s="241">
        <f t="shared" si="13"/>
        <v>0</v>
      </c>
      <c r="M29" s="92"/>
      <c r="N29" s="73"/>
    </row>
    <row r="30" spans="3:14" ht="18.75" customHeight="1" x14ac:dyDescent="0.25">
      <c r="C30" s="34"/>
      <c r="D30" s="81"/>
      <c r="E30" s="88" t="str">
        <f>'GCs Detail'!$E12</f>
        <v>Mileage</v>
      </c>
      <c r="F30" s="117"/>
      <c r="G30" s="89"/>
      <c r="H30" s="237"/>
      <c r="I30" s="238">
        <f>'GCs Detail'!$J12</f>
        <v>0.55000000000000004</v>
      </c>
      <c r="J30" s="239">
        <f>'GCs Detail'!$H12</f>
        <v>0</v>
      </c>
      <c r="K30" s="240" t="str">
        <f>'GCs Detail'!$I12</f>
        <v>miles</v>
      </c>
      <c r="L30" s="241">
        <f t="shared" si="13"/>
        <v>0</v>
      </c>
      <c r="M30" s="92"/>
      <c r="N30" s="73"/>
    </row>
    <row r="31" spans="3:14" ht="18.75" customHeight="1" x14ac:dyDescent="0.25">
      <c r="C31" s="34"/>
      <c r="D31" s="81"/>
      <c r="E31" s="88" t="str">
        <f>'GCs Detail'!$E13</f>
        <v>Airfare</v>
      </c>
      <c r="F31" s="117"/>
      <c r="G31" s="89"/>
      <c r="H31" s="237"/>
      <c r="I31" s="238">
        <f>'GCs Detail'!$J13</f>
        <v>0</v>
      </c>
      <c r="J31" s="239">
        <f>'GCs Detail'!$H13</f>
        <v>0</v>
      </c>
      <c r="K31" s="240" t="str">
        <f>'GCs Detail'!$I13</f>
        <v>flights</v>
      </c>
      <c r="L31" s="241">
        <f t="shared" si="13"/>
        <v>0</v>
      </c>
      <c r="M31" s="92"/>
      <c r="N31" s="73"/>
    </row>
    <row r="32" spans="3:14" ht="18.75" customHeight="1" x14ac:dyDescent="0.25">
      <c r="C32" s="34"/>
      <c r="D32" s="81"/>
      <c r="E32" s="88" t="str">
        <f>'GCs Detail'!$E14</f>
        <v>TBD</v>
      </c>
      <c r="F32" s="117"/>
      <c r="G32" s="89"/>
      <c r="H32" s="237"/>
      <c r="I32" s="238">
        <f>'GCs Detail'!$J14</f>
        <v>0</v>
      </c>
      <c r="J32" s="239">
        <f>'GCs Detail'!$H14</f>
        <v>0</v>
      </c>
      <c r="K32" s="240" t="str">
        <f>'GCs Detail'!$I14</f>
        <v>nights</v>
      </c>
      <c r="L32" s="241">
        <f t="shared" si="1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Detail'!$E15</f>
        <v>Car Rental</v>
      </c>
      <c r="F33" s="117"/>
      <c r="G33" s="89"/>
      <c r="H33" s="237"/>
      <c r="I33" s="238">
        <f>'GCs Detail'!$J15</f>
        <v>400</v>
      </c>
      <c r="J33" s="239">
        <f>'GCs Detail'!$H15</f>
        <v>0</v>
      </c>
      <c r="K33" s="240" t="str">
        <f>'GCs Detail'!$I15</f>
        <v>days</v>
      </c>
      <c r="L33" s="241">
        <f t="shared" si="1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Detail'!$E16</f>
        <v>House/Apartment Rental</v>
      </c>
      <c r="F34" s="117"/>
      <c r="G34" s="89"/>
      <c r="H34" s="237"/>
      <c r="I34" s="238">
        <f>'GCs Detail'!$J16</f>
        <v>0</v>
      </c>
      <c r="J34" s="239">
        <f>'GCs Detail'!$H16</f>
        <v>0</v>
      </c>
      <c r="K34" s="240" t="str">
        <f>'GCs Detail'!$I16</f>
        <v>mos</v>
      </c>
      <c r="L34" s="241">
        <f t="shared" si="1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Detail'!$E17</f>
        <v>Moving/Relocation</v>
      </c>
      <c r="F35" s="117"/>
      <c r="G35" s="89"/>
      <c r="H35" s="237"/>
      <c r="I35" s="238">
        <f>'GCs Detail'!$J17</f>
        <v>0</v>
      </c>
      <c r="J35" s="239">
        <f>'GCs Detail'!$H17</f>
        <v>0</v>
      </c>
      <c r="K35" s="240" t="str">
        <f>'GCs Detail'!$I17</f>
        <v>mos</v>
      </c>
      <c r="L35" s="241">
        <f t="shared" si="1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Detail'!$E18</f>
        <v>Tolls</v>
      </c>
      <c r="F36" s="117"/>
      <c r="G36" s="89"/>
      <c r="H36" s="237"/>
      <c r="I36" s="238">
        <f>'GCs Detail'!$J18</f>
        <v>0</v>
      </c>
      <c r="J36" s="239">
        <f>'GCs Detail'!$H18</f>
        <v>0</v>
      </c>
      <c r="K36" s="240" t="str">
        <f>'GCs Detail'!$I18</f>
        <v>wks</v>
      </c>
      <c r="L36" s="241">
        <f t="shared" si="13"/>
        <v>0</v>
      </c>
      <c r="M36" s="92"/>
      <c r="N36" s="73"/>
    </row>
    <row r="37" spans="3:14" ht="18.75" customHeight="1" x14ac:dyDescent="0.25">
      <c r="C37" s="34"/>
      <c r="D37" s="81"/>
      <c r="E37" s="88" t="str">
        <f>'GCs Detail'!$E19</f>
        <v>Food Allowance</v>
      </c>
      <c r="F37" s="117"/>
      <c r="G37" s="89"/>
      <c r="H37" s="237"/>
      <c r="I37" s="238">
        <f>'GCs Detail'!$J19</f>
        <v>0</v>
      </c>
      <c r="J37" s="239">
        <f>'GCs Detail'!$H19</f>
        <v>0</v>
      </c>
      <c r="K37" s="240" t="str">
        <f>'GCs Detail'!$I19</f>
        <v>wks</v>
      </c>
      <c r="L37" s="241">
        <f t="shared" si="13"/>
        <v>0</v>
      </c>
      <c r="M37" s="92"/>
      <c r="N37" s="73"/>
    </row>
    <row r="38" spans="3:14" ht="18.75" customHeight="1" x14ac:dyDescent="0.25">
      <c r="C38" s="34"/>
      <c r="D38" s="81"/>
      <c r="E38" s="552">
        <f>'GCs Detail'!$E20</f>
        <v>0</v>
      </c>
      <c r="F38" s="552"/>
      <c r="G38" s="553"/>
      <c r="H38" s="553"/>
      <c r="I38" s="554">
        <f>'GCs Detail'!$J20</f>
        <v>0</v>
      </c>
      <c r="J38" s="555">
        <f>'GCs Detail'!$H20</f>
        <v>0</v>
      </c>
      <c r="K38" s="556">
        <f>'GCs Detail'!$I20</f>
        <v>0</v>
      </c>
      <c r="L38" s="557">
        <f t="shared" si="13"/>
        <v>0</v>
      </c>
      <c r="M38" s="92"/>
      <c r="N38" s="73"/>
    </row>
    <row r="39" spans="3:14" ht="18.75" customHeight="1" x14ac:dyDescent="0.25">
      <c r="C39" s="34"/>
      <c r="D39" s="81"/>
      <c r="E39" s="82" t="str">
        <f>'GCs Detail'!$E21</f>
        <v>PROJECT TRAILERS</v>
      </c>
      <c r="F39" s="576"/>
      <c r="G39" s="553"/>
      <c r="H39" s="553"/>
      <c r="I39" s="554">
        <f>'GCs Detail'!$J21</f>
        <v>0</v>
      </c>
      <c r="J39" s="555">
        <f>'GCs Detail'!$H21</f>
        <v>0</v>
      </c>
      <c r="K39" s="556">
        <f>'GCs Detail'!$I21</f>
        <v>0</v>
      </c>
      <c r="L39" s="557">
        <f t="shared" si="13"/>
        <v>0</v>
      </c>
      <c r="M39" s="92"/>
      <c r="N39" s="73"/>
    </row>
    <row r="40" spans="3:14" ht="4.5" customHeight="1" x14ac:dyDescent="0.25">
      <c r="C40" s="34"/>
      <c r="D40" s="81"/>
      <c r="E40" s="552">
        <f>'GCs Detail'!$E22</f>
        <v>0</v>
      </c>
      <c r="F40" s="552"/>
      <c r="G40" s="553"/>
      <c r="H40" s="553"/>
      <c r="I40" s="554">
        <f>'GCs Detail'!$J22</f>
        <v>0</v>
      </c>
      <c r="J40" s="555">
        <f>'GCs Detail'!$H22</f>
        <v>0</v>
      </c>
      <c r="K40" s="556">
        <f>'GCs Detail'!$I22</f>
        <v>0</v>
      </c>
      <c r="L40" s="557">
        <f t="shared" si="13"/>
        <v>0</v>
      </c>
      <c r="M40" s="92"/>
      <c r="N40" s="73"/>
    </row>
    <row r="41" spans="3:14" ht="18.75" customHeight="1" x14ac:dyDescent="0.25">
      <c r="C41" s="34"/>
      <c r="D41" s="81"/>
      <c r="E41" s="552">
        <f>'GCs Detail'!$E23</f>
        <v>0</v>
      </c>
      <c r="F41" s="552"/>
      <c r="G41" s="553"/>
      <c r="H41" s="553"/>
      <c r="I41" s="554">
        <f>'GCs Detail'!$J23</f>
        <v>0</v>
      </c>
      <c r="J41" s="555">
        <f>'GCs Detail'!$H23</f>
        <v>0</v>
      </c>
      <c r="K41" s="556">
        <f>'GCs Detail'!$I23</f>
        <v>0</v>
      </c>
      <c r="L41" s="557">
        <f t="shared" si="13"/>
        <v>0</v>
      </c>
      <c r="M41" s="92"/>
      <c r="N41" s="73"/>
    </row>
    <row r="42" spans="3:14" ht="18.75" customHeight="1" x14ac:dyDescent="0.25">
      <c r="C42" s="34"/>
      <c r="D42" s="81"/>
      <c r="E42" s="82" t="str">
        <f>'GCs Detail'!$E25</f>
        <v>TEMPORARY OFFICE RENTAL</v>
      </c>
      <c r="F42" s="576"/>
      <c r="G42" s="553"/>
      <c r="H42" s="553"/>
      <c r="I42" s="554">
        <f>'GCs Detail'!$J25</f>
        <v>0</v>
      </c>
      <c r="J42" s="555">
        <f>'GCs Detail'!$H25</f>
        <v>0</v>
      </c>
      <c r="K42" s="556">
        <f>'GCs Detail'!$I25</f>
        <v>0</v>
      </c>
      <c r="L42" s="557">
        <f t="shared" si="1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Detail'!$E26</f>
        <v>Rental Fees</v>
      </c>
      <c r="F43" s="117"/>
      <c r="G43" s="89"/>
      <c r="H43" s="237"/>
      <c r="I43" s="238">
        <f>'GCs Detail'!$J26</f>
        <v>0</v>
      </c>
      <c r="J43" s="239">
        <f>'GCs Detail'!$H26</f>
        <v>0</v>
      </c>
      <c r="K43" s="240" t="str">
        <f>'GCs Detail'!$I26</f>
        <v>mos</v>
      </c>
      <c r="L43" s="241">
        <f t="shared" si="1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Detail'!$E27</f>
        <v>Build-Out Of Office Space</v>
      </c>
      <c r="F44" s="117"/>
      <c r="G44" s="89"/>
      <c r="H44" s="237"/>
      <c r="I44" s="238">
        <f>'GCs Detail'!$J27</f>
        <v>0</v>
      </c>
      <c r="J44" s="239">
        <f>'GCs Detail'!$H27</f>
        <v>0</v>
      </c>
      <c r="K44" s="240" t="str">
        <f>'GCs Detail'!$I27</f>
        <v>lsum</v>
      </c>
      <c r="L44" s="241">
        <f t="shared" si="1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Detail'!$E28</f>
        <v>Utilities</v>
      </c>
      <c r="F45" s="117"/>
      <c r="G45" s="89"/>
      <c r="H45" s="237"/>
      <c r="I45" s="238">
        <f>'GCs Detail'!$J28</f>
        <v>0</v>
      </c>
      <c r="J45" s="239">
        <f>'GCs Detail'!$H28</f>
        <v>0</v>
      </c>
      <c r="K45" s="240" t="str">
        <f>'GCs Detail'!$I28</f>
        <v>mos</v>
      </c>
      <c r="L45" s="241">
        <f t="shared" si="1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Detail'!$E29</f>
        <v>Demolition &amp; Restore to Original Condition</v>
      </c>
      <c r="F46" s="117"/>
      <c r="G46" s="89"/>
      <c r="H46" s="237"/>
      <c r="I46" s="238">
        <f>'GCs Detail'!$J29</f>
        <v>0</v>
      </c>
      <c r="J46" s="239">
        <f>'GCs Detail'!$H29</f>
        <v>0</v>
      </c>
      <c r="K46" s="240" t="str">
        <f>'GCs Detail'!$I29</f>
        <v>lsum</v>
      </c>
      <c r="L46" s="241">
        <f t="shared" si="13"/>
        <v>0</v>
      </c>
      <c r="M46" s="92"/>
      <c r="N46" s="73"/>
    </row>
    <row r="47" spans="3:14" ht="18.75" customHeight="1" x14ac:dyDescent="0.25">
      <c r="C47" s="34"/>
      <c r="D47" s="81"/>
      <c r="E47" s="552">
        <f>'GCs Detail'!$E30</f>
        <v>0</v>
      </c>
      <c r="F47" s="552"/>
      <c r="G47" s="553"/>
      <c r="H47" s="553"/>
      <c r="I47" s="554">
        <f>'GCs Detail'!$J30</f>
        <v>0</v>
      </c>
      <c r="J47" s="555">
        <f>'GCs Detail'!$H30</f>
        <v>0</v>
      </c>
      <c r="K47" s="556">
        <f>'GCs Detail'!$I30</f>
        <v>0</v>
      </c>
      <c r="L47" s="557">
        <f t="shared" si="13"/>
        <v>0</v>
      </c>
      <c r="M47" s="92"/>
      <c r="N47" s="73"/>
    </row>
    <row r="48" spans="3:14" ht="18.75" customHeight="1" x14ac:dyDescent="0.25">
      <c r="C48" s="34"/>
      <c r="D48" s="81"/>
      <c r="E48" s="82" t="str">
        <f>'GCs Detail'!$E31</f>
        <v xml:space="preserve">SUFFOLK OFFICE FUNITURE &amp; EQUIPMENT </v>
      </c>
      <c r="F48" s="576"/>
      <c r="G48" s="553"/>
      <c r="H48" s="553"/>
      <c r="I48" s="554">
        <f>'GCs Detail'!$J31</f>
        <v>0</v>
      </c>
      <c r="J48" s="555">
        <f>'GCs Detail'!$H31</f>
        <v>0</v>
      </c>
      <c r="K48" s="556">
        <f>'GCs Detail'!$I31</f>
        <v>0</v>
      </c>
      <c r="L48" s="557">
        <f t="shared" si="1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Detail'!$E32</f>
        <v>Digital Camera</v>
      </c>
      <c r="F49" s="117"/>
      <c r="G49" s="89"/>
      <c r="H49" s="237"/>
      <c r="I49" s="238">
        <f>'GCs Detail'!$J32</f>
        <v>500</v>
      </c>
      <c r="J49" s="239">
        <f>'GCs Detail'!$H32</f>
        <v>0</v>
      </c>
      <c r="K49" s="240" t="str">
        <f>'GCs Detail'!$I32</f>
        <v>each</v>
      </c>
      <c r="L49" s="241">
        <f t="shared" si="13"/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Detail'!$E33</f>
        <v>Jobsite Live Streaming Camera - Earthcam</v>
      </c>
      <c r="F50" s="117"/>
      <c r="G50" s="89"/>
      <c r="H50" s="237"/>
      <c r="I50" s="238">
        <f>'GCs Detail'!$J33</f>
        <v>12000</v>
      </c>
      <c r="J50" s="239">
        <f>'GCs Detail'!$H33</f>
        <v>0</v>
      </c>
      <c r="K50" s="240" t="str">
        <f>'GCs Detail'!$I33</f>
        <v>set-up</v>
      </c>
      <c r="L50" s="241">
        <f t="shared" si="13"/>
        <v>0</v>
      </c>
      <c r="M50" s="92"/>
      <c r="N50" s="73"/>
    </row>
    <row r="51" spans="3:14" ht="18.75" customHeight="1" x14ac:dyDescent="0.25">
      <c r="C51" s="34"/>
      <c r="D51" s="81"/>
      <c r="E51" s="88" t="str">
        <f>'GCs Detail'!$E34</f>
        <v>Jobsite Live Streaming  Camera - Earthcam ($600/mth fee plus $300/mth for internet fee)</v>
      </c>
      <c r="F51" s="117"/>
      <c r="G51" s="89"/>
      <c r="H51" s="237"/>
      <c r="I51" s="238">
        <f>'GCs Detail'!$J34</f>
        <v>900</v>
      </c>
      <c r="J51" s="239">
        <f>'GCs Detail'!$H34</f>
        <v>0</v>
      </c>
      <c r="K51" s="240" t="str">
        <f>'GCs Detail'!$I34</f>
        <v>mos</v>
      </c>
      <c r="L51" s="241">
        <f t="shared" si="13"/>
        <v>0</v>
      </c>
      <c r="M51" s="92"/>
      <c r="N51" s="73"/>
    </row>
    <row r="52" spans="3:14" ht="18.75" customHeight="1" x14ac:dyDescent="0.25">
      <c r="C52" s="34"/>
      <c r="D52" s="81"/>
      <c r="E52" s="88" t="str">
        <f>'GCs Detail'!$E35</f>
        <v>Cell Phone Charging Stations</v>
      </c>
      <c r="F52" s="117"/>
      <c r="G52" s="89"/>
      <c r="H52" s="237"/>
      <c r="I52" s="238">
        <f>'GCs Detail'!$J35</f>
        <v>1250</v>
      </c>
      <c r="J52" s="239">
        <f>'GCs Detail'!$H35</f>
        <v>0</v>
      </c>
      <c r="K52" s="240" t="str">
        <f>'GCs Detail'!$I35</f>
        <v>each</v>
      </c>
      <c r="L52" s="241">
        <f t="shared" si="13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Detail'!$E36</f>
        <v xml:space="preserve">Copiers </v>
      </c>
      <c r="F53" s="117"/>
      <c r="G53" s="89"/>
      <c r="H53" s="237"/>
      <c r="I53" s="238" t="e">
        <f ca="1">'GCs Detail'!$J36</f>
        <v>#NAME?</v>
      </c>
      <c r="J53" s="239">
        <f>'GCs Detail'!$H36</f>
        <v>0</v>
      </c>
      <c r="K53" s="240" t="str">
        <f>'GCs Detail'!$I36</f>
        <v>each</v>
      </c>
      <c r="L53" s="241" t="e">
        <f t="shared" ca="1" si="13"/>
        <v>#NAME?</v>
      </c>
      <c r="M53" s="92"/>
      <c r="N53" s="73"/>
    </row>
    <row r="54" spans="3:14" ht="18.75" customHeight="1" x14ac:dyDescent="0.25">
      <c r="C54" s="34"/>
      <c r="D54" s="81"/>
      <c r="E54" s="88" t="str">
        <f>'GCs Detail'!$E37</f>
        <v>Copier Maintenance</v>
      </c>
      <c r="F54" s="117"/>
      <c r="G54" s="89"/>
      <c r="H54" s="237"/>
      <c r="I54" s="238">
        <f>'GCs Detail'!$J37</f>
        <v>0</v>
      </c>
      <c r="J54" s="239">
        <f>'GCs Detail'!$H37</f>
        <v>0</v>
      </c>
      <c r="K54" s="240" t="str">
        <f>'GCs Detail'!$I37</f>
        <v>each</v>
      </c>
      <c r="L54" s="241">
        <f t="shared" si="13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Detail'!$E38</f>
        <v>Office Supplies</v>
      </c>
      <c r="F55" s="117"/>
      <c r="G55" s="89"/>
      <c r="H55" s="237"/>
      <c r="I55" s="238">
        <f>'GCs Detail'!$J38</f>
        <v>350</v>
      </c>
      <c r="J55" s="239">
        <f>'GCs Detail'!$H38</f>
        <v>0</v>
      </c>
      <c r="K55" s="240" t="str">
        <f>'GCs Detail'!$I38</f>
        <v>mos</v>
      </c>
      <c r="L55" s="241">
        <f t="shared" si="13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Detail'!$E39</f>
        <v xml:space="preserve">Office Furniture for each staff member  (Desks, Chairs, File Cabinet) </v>
      </c>
      <c r="F56" s="117"/>
      <c r="G56" s="89"/>
      <c r="H56" s="237"/>
      <c r="I56" s="238">
        <f>'GCs Detail'!$J39</f>
        <v>600</v>
      </c>
      <c r="J56" s="239">
        <f>'GCs Detail'!$H39</f>
        <v>0</v>
      </c>
      <c r="K56" s="240" t="str">
        <f>'GCs Detail'!$I39</f>
        <v>each</v>
      </c>
      <c r="L56" s="241">
        <f t="shared" si="13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Detail'!$E40</f>
        <v xml:space="preserve">Office Furniture (Conf. Tables, Chairs, Plan Tables, Filing Cabinets) </v>
      </c>
      <c r="F57" s="117"/>
      <c r="G57" s="89"/>
      <c r="H57" s="237"/>
      <c r="I57" s="238">
        <f>'GCs Detail'!$J40</f>
        <v>600</v>
      </c>
      <c r="J57" s="239">
        <f>'GCs Detail'!$H40</f>
        <v>0</v>
      </c>
      <c r="K57" s="240" t="str">
        <f>'GCs Detail'!$I40</f>
        <v>ls</v>
      </c>
      <c r="L57" s="241">
        <f t="shared" si="13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Detail'!$E41</f>
        <v>Consumables</v>
      </c>
      <c r="F58" s="117"/>
      <c r="G58" s="89"/>
      <c r="H58" s="237"/>
      <c r="I58" s="238">
        <f>'GCs Detail'!$J41</f>
        <v>200</v>
      </c>
      <c r="J58" s="239">
        <f>'GCs Detail'!$H41</f>
        <v>0</v>
      </c>
      <c r="K58" s="240" t="str">
        <f>'GCs Detail'!$I41</f>
        <v>mos</v>
      </c>
      <c r="L58" s="241">
        <f t="shared" si="13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Detail'!$E42</f>
        <v>Team Lunch (Owner Meetings)</v>
      </c>
      <c r="F59" s="117"/>
      <c r="G59" s="89"/>
      <c r="H59" s="237"/>
      <c r="I59" s="238">
        <f>'GCs Detail'!$J42</f>
        <v>0</v>
      </c>
      <c r="J59" s="239">
        <f>'GCs Detail'!$H42</f>
        <v>0</v>
      </c>
      <c r="K59" s="240" t="str">
        <f>'GCs Detail'!$I42</f>
        <v>mos</v>
      </c>
      <c r="L59" s="241">
        <f t="shared" ref="L59:L82" si="14">$I59*$J59</f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Detail'!$E43</f>
        <v>Bottled Water/Coffee</v>
      </c>
      <c r="F60" s="117"/>
      <c r="G60" s="89"/>
      <c r="H60" s="237"/>
      <c r="I60" s="238">
        <f>'GCs Detail'!$J43</f>
        <v>250</v>
      </c>
      <c r="J60" s="239">
        <f>'GCs Detail'!$H43</f>
        <v>0</v>
      </c>
      <c r="K60" s="240" t="str">
        <f>'GCs Detail'!$I43</f>
        <v>mos</v>
      </c>
      <c r="L60" s="241">
        <f t="shared" si="14"/>
        <v>0</v>
      </c>
      <c r="M60" s="92"/>
      <c r="N60" s="73"/>
    </row>
    <row r="61" spans="3:14" ht="18.75" customHeight="1" x14ac:dyDescent="0.25">
      <c r="C61" s="34"/>
      <c r="D61" s="81"/>
      <c r="E61" s="552">
        <f>'GCs Detail'!$E44</f>
        <v>0</v>
      </c>
      <c r="F61" s="552"/>
      <c r="G61" s="553"/>
      <c r="H61" s="553"/>
      <c r="I61" s="554">
        <f>'GCs Detail'!$J44</f>
        <v>0</v>
      </c>
      <c r="J61" s="555">
        <f>'GCs Detail'!$H44</f>
        <v>0</v>
      </c>
      <c r="K61" s="556">
        <f>'GCs Detail'!$I44</f>
        <v>0</v>
      </c>
      <c r="L61" s="557">
        <f t="shared" si="14"/>
        <v>0</v>
      </c>
      <c r="M61" s="92"/>
      <c r="N61" s="73"/>
    </row>
    <row r="62" spans="3:14" ht="18.75" customHeight="1" x14ac:dyDescent="0.25">
      <c r="C62" s="34"/>
      <c r="D62" s="81"/>
      <c r="E62" s="82" t="str">
        <f>'GCs Detail'!$E45</f>
        <v>INFORMATION TECHNOLOGY &amp; SUPPORT</v>
      </c>
      <c r="F62" s="576"/>
      <c r="G62" s="553"/>
      <c r="H62" s="553"/>
      <c r="I62" s="554">
        <f>'GCs Detail'!$J45</f>
        <v>0</v>
      </c>
      <c r="J62" s="555">
        <f>'GCs Detail'!$H45</f>
        <v>0</v>
      </c>
      <c r="K62" s="556">
        <f>'GCs Detail'!$I45</f>
        <v>0</v>
      </c>
      <c r="L62" s="557">
        <f t="shared" si="1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Detail'!$E46</f>
        <v>Internet set-up / job site set up</v>
      </c>
      <c r="F63" s="117"/>
      <c r="G63" s="89"/>
      <c r="H63" s="237"/>
      <c r="I63" s="238">
        <f>'GCs Detail'!$J46</f>
        <v>1000</v>
      </c>
      <c r="J63" s="239">
        <f>'GCs Detail'!$H46</f>
        <v>0</v>
      </c>
      <c r="K63" s="240" t="str">
        <f>'GCs Detail'!$I46</f>
        <v>lines</v>
      </c>
      <c r="L63" s="241">
        <f t="shared" si="14"/>
        <v>0</v>
      </c>
      <c r="M63" s="92"/>
      <c r="N63" s="73"/>
    </row>
    <row r="64" spans="3:14" ht="18.75" customHeight="1" x14ac:dyDescent="0.25">
      <c r="C64" s="34"/>
      <c r="D64" s="81"/>
      <c r="E64" s="88" t="str">
        <f>'GCs Detail'!$E47</f>
        <v>Internet Monthly Cost</v>
      </c>
      <c r="F64" s="117"/>
      <c r="G64" s="89"/>
      <c r="H64" s="237"/>
      <c r="I64" s="238">
        <f>'GCs Detail'!$J47</f>
        <v>0</v>
      </c>
      <c r="J64" s="239">
        <f>'GCs Detail'!$H47</f>
        <v>0</v>
      </c>
      <c r="K64" s="240" t="str">
        <f>'GCs Detail'!$I47</f>
        <v>mos</v>
      </c>
      <c r="L64" s="241">
        <f t="shared" si="14"/>
        <v>0</v>
      </c>
      <c r="M64" s="92"/>
      <c r="N64" s="73"/>
    </row>
    <row r="65" spans="3:14" ht="18.75" customHeight="1" x14ac:dyDescent="0.25">
      <c r="C65" s="34"/>
      <c r="D65" s="81"/>
      <c r="E65" s="88" t="str">
        <f>'GCs Detail'!$E48</f>
        <v>Mifi Set-up Cost (Cradlepoints)</v>
      </c>
      <c r="F65" s="117"/>
      <c r="G65" s="89"/>
      <c r="H65" s="237"/>
      <c r="I65" s="238">
        <f>'GCs Detail'!$J48</f>
        <v>300</v>
      </c>
      <c r="J65" s="239">
        <f>'GCs Detail'!$H48</f>
        <v>0</v>
      </c>
      <c r="K65" s="240" t="str">
        <f>'GCs Detail'!$I48</f>
        <v>ea</v>
      </c>
      <c r="L65" s="241">
        <f t="shared" si="1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Detail'!$E49</f>
        <v>Mifi Monthly Cost</v>
      </c>
      <c r="F66" s="117"/>
      <c r="G66" s="89"/>
      <c r="H66" s="237"/>
      <c r="I66" s="238">
        <f>'GCs Detail'!$J49</f>
        <v>265</v>
      </c>
      <c r="J66" s="239">
        <f>'GCs Detail'!$H49</f>
        <v>0</v>
      </c>
      <c r="K66" s="240" t="str">
        <f>'GCs Detail'!$I49</f>
        <v>mos</v>
      </c>
      <c r="L66" s="241">
        <f t="shared" si="1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Detail'!$E50</f>
        <v>Cisco PoE Switch (One required for every job) - Good for Up to 20 Users</v>
      </c>
      <c r="F67" s="117"/>
      <c r="G67" s="89"/>
      <c r="H67" s="237"/>
      <c r="I67" s="238">
        <f>'GCs Detail'!$J50</f>
        <v>4600</v>
      </c>
      <c r="J67" s="239">
        <f>'GCs Detail'!$H50</f>
        <v>0</v>
      </c>
      <c r="K67" s="240" t="str">
        <f>'GCs Detail'!$I50</f>
        <v>each</v>
      </c>
      <c r="L67" s="241">
        <f t="shared" si="1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Detail'!$E51</f>
        <v>Internal Wireless Access Point (Trailer)</v>
      </c>
      <c r="F68" s="117"/>
      <c r="G68" s="89"/>
      <c r="H68" s="237"/>
      <c r="I68" s="238">
        <f>'GCs Detail'!$J51</f>
        <v>600</v>
      </c>
      <c r="J68" s="239">
        <f>'GCs Detail'!$H51</f>
        <v>0</v>
      </c>
      <c r="K68" s="240" t="str">
        <f>'GCs Detail'!$I51</f>
        <v>ea</v>
      </c>
      <c r="L68" s="241">
        <f t="shared" si="1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Detail'!$E52</f>
        <v>External Wireless Access Point (Site)</v>
      </c>
      <c r="F69" s="117"/>
      <c r="G69" s="89"/>
      <c r="H69" s="237"/>
      <c r="I69" s="238">
        <f>'GCs Detail'!$J52</f>
        <v>1820</v>
      </c>
      <c r="J69" s="239">
        <f>'GCs Detail'!$H52</f>
        <v>0</v>
      </c>
      <c r="K69" s="240" t="str">
        <f>'GCs Detail'!$I52</f>
        <v>ea</v>
      </c>
      <c r="L69" s="241">
        <f t="shared" si="1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Detail'!$E53</f>
        <v>Cisco VoiP phone</v>
      </c>
      <c r="F70" s="117"/>
      <c r="G70" s="89"/>
      <c r="H70" s="237"/>
      <c r="I70" s="238">
        <f>'GCs Detail'!$J53</f>
        <v>750</v>
      </c>
      <c r="J70" s="239">
        <f>'GCs Detail'!$H53</f>
        <v>0</v>
      </c>
      <c r="K70" s="240" t="str">
        <f>'GCs Detail'!$I53</f>
        <v>each</v>
      </c>
      <c r="L70" s="241">
        <f t="shared" si="1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Detail'!$E54</f>
        <v>Cisco Conference Star phone</v>
      </c>
      <c r="F71" s="117"/>
      <c r="G71" s="89"/>
      <c r="H71" s="237"/>
      <c r="I71" s="238">
        <f>'GCs Detail'!$J54</f>
        <v>1200</v>
      </c>
      <c r="J71" s="239">
        <f>'GCs Detail'!$H54</f>
        <v>0</v>
      </c>
      <c r="K71" s="240" t="str">
        <f>'GCs Detail'!$I54</f>
        <v>each</v>
      </c>
      <c r="L71" s="241">
        <f t="shared" si="1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Detail'!$E55</f>
        <v>Red Analog Emergency Phone</v>
      </c>
      <c r="F72" s="117"/>
      <c r="G72" s="89"/>
      <c r="H72" s="237"/>
      <c r="I72" s="238">
        <f>'GCs Detail'!$J55</f>
        <v>50</v>
      </c>
      <c r="J72" s="239">
        <f>'GCs Detail'!$H55</f>
        <v>0</v>
      </c>
      <c r="K72" s="240" t="str">
        <f>'GCs Detail'!$I55</f>
        <v>each</v>
      </c>
      <c r="L72" s="241">
        <f t="shared" si="1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Detail'!$E56</f>
        <v>File Server, Rack, UPS, SkySync License</v>
      </c>
      <c r="F73" s="117"/>
      <c r="G73" s="89"/>
      <c r="H73" s="237"/>
      <c r="I73" s="238">
        <f>'GCs Detail'!$J56</f>
        <v>25000</v>
      </c>
      <c r="J73" s="239">
        <f>'GCs Detail'!$H56</f>
        <v>0</v>
      </c>
      <c r="K73" s="240" t="str">
        <f>'GCs Detail'!$I56</f>
        <v>each</v>
      </c>
      <c r="L73" s="241">
        <f t="shared" si="14"/>
        <v>0</v>
      </c>
      <c r="M73" s="92"/>
      <c r="N73" s="73"/>
    </row>
    <row r="74" spans="3:14" ht="18.75" customHeight="1" x14ac:dyDescent="0.25">
      <c r="C74" s="34"/>
      <c r="D74" s="81"/>
      <c r="E74" s="552">
        <f>'GCs Detail'!$E57</f>
        <v>0</v>
      </c>
      <c r="F74" s="552"/>
      <c r="G74" s="553"/>
      <c r="H74" s="553"/>
      <c r="I74" s="554">
        <f>'GCs Detail'!$J57</f>
        <v>0</v>
      </c>
      <c r="J74" s="555">
        <f>'GCs Detail'!$H57</f>
        <v>0</v>
      </c>
      <c r="K74" s="556">
        <f>'GCs Detail'!$I57</f>
        <v>0</v>
      </c>
      <c r="L74" s="557">
        <f t="shared" si="14"/>
        <v>0</v>
      </c>
      <c r="M74" s="92"/>
      <c r="N74" s="73"/>
    </row>
    <row r="75" spans="3:14" ht="18.75" customHeight="1" x14ac:dyDescent="0.25">
      <c r="C75" s="34"/>
      <c r="D75" s="81"/>
      <c r="E75" s="82" t="str">
        <f>'GCs Detail'!$E58</f>
        <v xml:space="preserve">COMPUTER EQUIPMENT   </v>
      </c>
      <c r="F75" s="576"/>
      <c r="G75" s="553"/>
      <c r="H75" s="553"/>
      <c r="I75" s="554">
        <f>'GCs Detail'!$J58</f>
        <v>0</v>
      </c>
      <c r="J75" s="555">
        <f>'GCs Detail'!$H58</f>
        <v>0</v>
      </c>
      <c r="K75" s="556">
        <f>'GCs Detail'!$I58</f>
        <v>0</v>
      </c>
      <c r="L75" s="557">
        <f t="shared" si="14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Detail'!$E59</f>
        <v>Printer</v>
      </c>
      <c r="F76" s="117"/>
      <c r="G76" s="89"/>
      <c r="H76" s="237"/>
      <c r="I76" s="238">
        <f>'GCs Detail'!$J59</f>
        <v>450</v>
      </c>
      <c r="J76" s="239">
        <f>'GCs Detail'!$H59</f>
        <v>0</v>
      </c>
      <c r="K76" s="240" t="str">
        <f>'GCs Detail'!$I59</f>
        <v>each</v>
      </c>
      <c r="L76" s="241">
        <f t="shared" si="14"/>
        <v>0</v>
      </c>
      <c r="M76" s="92"/>
      <c r="N76" s="73"/>
    </row>
    <row r="77" spans="3:14" ht="18.75" customHeight="1" x14ac:dyDescent="0.25">
      <c r="C77" s="34"/>
      <c r="D77" s="81"/>
      <c r="E77" s="88" t="str">
        <f>'GCs Detail'!$E60</f>
        <v>Desktop Computer</v>
      </c>
      <c r="F77" s="117"/>
      <c r="G77" s="89"/>
      <c r="H77" s="237"/>
      <c r="I77" s="238">
        <f>'GCs Detail'!$J60</f>
        <v>2265</v>
      </c>
      <c r="J77" s="239">
        <f>'GCs Detail'!$H60</f>
        <v>0</v>
      </c>
      <c r="K77" s="240" t="str">
        <f>'GCs Detail'!$I60</f>
        <v>each</v>
      </c>
      <c r="L77" s="241">
        <f t="shared" si="14"/>
        <v>0</v>
      </c>
      <c r="M77" s="92"/>
      <c r="N77" s="73"/>
    </row>
    <row r="78" spans="3:14" ht="18.75" customHeight="1" x14ac:dyDescent="0.25">
      <c r="C78" s="34"/>
      <c r="D78" s="81"/>
      <c r="E78" s="88" t="str">
        <f>'GCs Detail'!$E61</f>
        <v xml:space="preserve">Laptop Standard </v>
      </c>
      <c r="F78" s="117"/>
      <c r="G78" s="89"/>
      <c r="H78" s="237"/>
      <c r="I78" s="238">
        <f>'GCs Detail'!$J61</f>
        <v>1500</v>
      </c>
      <c r="J78" s="239">
        <f>'GCs Detail'!$H61</f>
        <v>0</v>
      </c>
      <c r="K78" s="240" t="str">
        <f>'GCs Detail'!$I61</f>
        <v>each</v>
      </c>
      <c r="L78" s="241">
        <f t="shared" si="14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Detail'!$E62</f>
        <v>Laptop BIM High Spec</v>
      </c>
      <c r="F79" s="117"/>
      <c r="G79" s="89"/>
      <c r="H79" s="237"/>
      <c r="I79" s="238">
        <f>'GCs Detail'!$J62</f>
        <v>4500</v>
      </c>
      <c r="J79" s="239">
        <f>'GCs Detail'!$H62</f>
        <v>0</v>
      </c>
      <c r="K79" s="240" t="str">
        <f>'GCs Detail'!$I62</f>
        <v>each</v>
      </c>
      <c r="L79" s="241">
        <f t="shared" si="14"/>
        <v>0</v>
      </c>
      <c r="M79" s="92"/>
      <c r="N79" s="73"/>
    </row>
    <row r="80" spans="3:14" ht="18.75" customHeight="1" x14ac:dyDescent="0.25">
      <c r="C80" s="34"/>
      <c r="D80" s="81"/>
      <c r="E80" s="88" t="str">
        <f>'GCs Detail'!$E63</f>
        <v>24" Monitor</v>
      </c>
      <c r="F80" s="117"/>
      <c r="G80" s="89"/>
      <c r="H80" s="237"/>
      <c r="I80" s="238">
        <f>'GCs Detail'!$J63</f>
        <v>150</v>
      </c>
      <c r="J80" s="239">
        <f>'GCs Detail'!$H63</f>
        <v>0</v>
      </c>
      <c r="K80" s="240" t="str">
        <f>'GCs Detail'!$I63</f>
        <v>each</v>
      </c>
      <c r="L80" s="241">
        <f t="shared" si="14"/>
        <v>0</v>
      </c>
      <c r="M80" s="92"/>
      <c r="N80" s="73"/>
    </row>
    <row r="81" spans="3:14" ht="18.75" customHeight="1" x14ac:dyDescent="0.25">
      <c r="C81" s="34"/>
      <c r="D81" s="81"/>
      <c r="E81" s="88" t="str">
        <f>'GCs Detail'!$E64</f>
        <v>27" Monitor</v>
      </c>
      <c r="F81" s="117"/>
      <c r="G81" s="89"/>
      <c r="H81" s="237"/>
      <c r="I81" s="238">
        <f>'GCs Detail'!$J64</f>
        <v>150</v>
      </c>
      <c r="J81" s="239">
        <f>'GCs Detail'!$H64</f>
        <v>0</v>
      </c>
      <c r="K81" s="240" t="str">
        <f>'GCs Detail'!$I64</f>
        <v>each</v>
      </c>
      <c r="L81" s="241">
        <f t="shared" si="14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Detail'!$E65</f>
        <v>27" DELL 4K monitor</v>
      </c>
      <c r="F82" s="117"/>
      <c r="G82" s="89"/>
      <c r="H82" s="237"/>
      <c r="I82" s="238">
        <f>'GCs Detail'!$J65</f>
        <v>450</v>
      </c>
      <c r="J82" s="239">
        <f>'GCs Detail'!$H65</f>
        <v>0</v>
      </c>
      <c r="K82" s="240" t="str">
        <f>'GCs Detail'!$I65</f>
        <v>each</v>
      </c>
      <c r="L82" s="241">
        <f t="shared" si="14"/>
        <v>0</v>
      </c>
      <c r="M82" s="92"/>
      <c r="N82" s="73"/>
    </row>
    <row r="83" spans="3:14" ht="18.75" customHeight="1" x14ac:dyDescent="0.25">
      <c r="C83" s="34"/>
      <c r="D83" s="81"/>
      <c r="E83" s="88" t="str">
        <f>'GCs Detail'!$E66</f>
        <v>Digital Signage</v>
      </c>
      <c r="F83" s="117"/>
      <c r="G83" s="89"/>
      <c r="H83" s="237"/>
      <c r="I83" s="238">
        <f>'GCs Detail'!$J66</f>
        <v>2500</v>
      </c>
      <c r="J83" s="239">
        <f>'GCs Detail'!$H66</f>
        <v>0</v>
      </c>
      <c r="K83" s="240" t="str">
        <f>'GCs Detail'!$I66</f>
        <v>each</v>
      </c>
      <c r="L83" s="241">
        <f t="shared" ref="L83:L112" si="15">$I83*$J83</f>
        <v>0</v>
      </c>
      <c r="M83" s="92"/>
      <c r="N83" s="73"/>
    </row>
    <row r="84" spans="3:14" ht="18.75" customHeight="1" x14ac:dyDescent="0.25">
      <c r="C84" s="34"/>
      <c r="D84" s="81"/>
      <c r="E84" s="88" t="str">
        <f>'GCs Detail'!$E67</f>
        <v>Microsoft Surface Hub</v>
      </c>
      <c r="F84" s="117"/>
      <c r="G84" s="89"/>
      <c r="H84" s="237"/>
      <c r="I84" s="238">
        <f>'GCs Detail'!$J67</f>
        <v>1500</v>
      </c>
      <c r="J84" s="239">
        <f>'GCs Detail'!$H67</f>
        <v>0</v>
      </c>
      <c r="K84" s="240" t="str">
        <f>'GCs Detail'!$I67</f>
        <v>each</v>
      </c>
      <c r="L84" s="241">
        <f t="shared" si="1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Detail'!$E68</f>
        <v>Apple TV (iPad Screen Mirroring)</v>
      </c>
      <c r="F85" s="117"/>
      <c r="G85" s="89"/>
      <c r="H85" s="237"/>
      <c r="I85" s="238">
        <f>'GCs Detail'!$J68</f>
        <v>70</v>
      </c>
      <c r="J85" s="239">
        <f>'GCs Detail'!$H68</f>
        <v>0</v>
      </c>
      <c r="K85" s="240" t="str">
        <f>'GCs Detail'!$I68</f>
        <v>each</v>
      </c>
      <c r="L85" s="241">
        <f t="shared" si="15"/>
        <v>0</v>
      </c>
      <c r="M85" s="92"/>
      <c r="N85" s="73"/>
    </row>
    <row r="86" spans="3:14" ht="18.75" customHeight="1" x14ac:dyDescent="0.25">
      <c r="C86" s="34"/>
      <c r="D86" s="81"/>
      <c r="E86" s="88" t="str">
        <f>'GCs Detail'!$E69</f>
        <v>Field iPad</v>
      </c>
      <c r="F86" s="117"/>
      <c r="G86" s="89"/>
      <c r="H86" s="237"/>
      <c r="I86" s="238">
        <f>'GCs Detail'!$J69</f>
        <v>860</v>
      </c>
      <c r="J86" s="239">
        <f>'GCs Detail'!$H69</f>
        <v>0</v>
      </c>
      <c r="K86" s="240" t="str">
        <f>'GCs Detail'!$I69</f>
        <v>each</v>
      </c>
      <c r="L86" s="241">
        <f t="shared" si="15"/>
        <v>0</v>
      </c>
      <c r="M86" s="92"/>
      <c r="N86" s="73"/>
    </row>
    <row r="87" spans="3:14" ht="18.75" customHeight="1" x14ac:dyDescent="0.25">
      <c r="C87" s="34"/>
      <c r="D87" s="81"/>
      <c r="E87" s="552">
        <f>'GCs Detail'!$E70</f>
        <v>0</v>
      </c>
      <c r="F87" s="552"/>
      <c r="G87" s="553"/>
      <c r="H87" s="553"/>
      <c r="I87" s="554">
        <f>'GCs Detail'!$J70</f>
        <v>0</v>
      </c>
      <c r="J87" s="555">
        <f>'GCs Detail'!$H70</f>
        <v>0</v>
      </c>
      <c r="K87" s="556">
        <f>'GCs Detail'!$I70</f>
        <v>0</v>
      </c>
      <c r="L87" s="557">
        <f t="shared" si="15"/>
        <v>0</v>
      </c>
      <c r="M87" s="92"/>
      <c r="N87" s="73"/>
    </row>
    <row r="88" spans="3:14" ht="18.75" customHeight="1" x14ac:dyDescent="0.25">
      <c r="C88" s="34"/>
      <c r="D88" s="81"/>
      <c r="E88" s="82" t="str">
        <f>'GCs Detail'!$E71</f>
        <v>PROCORE</v>
      </c>
      <c r="F88" s="576"/>
      <c r="G88" s="553"/>
      <c r="H88" s="553"/>
      <c r="I88" s="554">
        <f>'GCs Detail'!$J71</f>
        <v>0</v>
      </c>
      <c r="J88" s="555">
        <f>'GCs Detail'!$H71</f>
        <v>0</v>
      </c>
      <c r="K88" s="556">
        <f>'GCs Detail'!$I71</f>
        <v>0</v>
      </c>
      <c r="L88" s="557">
        <f t="shared" si="1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Detail'!$E72</f>
        <v>Procore Fee</v>
      </c>
      <c r="F89" s="117"/>
      <c r="G89" s="89"/>
      <c r="H89" s="237"/>
      <c r="I89" s="238">
        <f>'GCs Detail'!$J72</f>
        <v>6.9999999999999999E-4</v>
      </c>
      <c r="J89" s="239">
        <f>'GCs Detail'!$H72</f>
        <v>0</v>
      </c>
      <c r="K89" s="240" t="str">
        <f>'GCs Detail'!$I72</f>
        <v>contract</v>
      </c>
      <c r="L89" s="241">
        <f t="shared" si="1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Detail'!$E73</f>
        <v>0</v>
      </c>
      <c r="F90" s="552"/>
      <c r="G90" s="553"/>
      <c r="H90" s="553"/>
      <c r="I90" s="554">
        <f>'GCs Detail'!$J73</f>
        <v>0</v>
      </c>
      <c r="J90" s="555">
        <f>'GCs Detail'!$H73</f>
        <v>0</v>
      </c>
      <c r="K90" s="556">
        <f>'GCs Detail'!$I73</f>
        <v>0</v>
      </c>
      <c r="L90" s="557">
        <f t="shared" si="1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Detail'!$E74</f>
        <v>SUFFOLK SAFETY APPLICATION</v>
      </c>
      <c r="F91" s="576"/>
      <c r="G91" s="553"/>
      <c r="H91" s="553"/>
      <c r="I91" s="554">
        <f>'GCs Detail'!$J74</f>
        <v>0</v>
      </c>
      <c r="J91" s="555">
        <f>'GCs Detail'!$H74</f>
        <v>0</v>
      </c>
      <c r="K91" s="556">
        <f>'GCs Detail'!$I74</f>
        <v>0</v>
      </c>
      <c r="L91" s="557">
        <f t="shared" si="1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Detail'!$E75</f>
        <v>Safety Application - per each on site staff</v>
      </c>
      <c r="F92" s="117"/>
      <c r="G92" s="89"/>
      <c r="H92" s="237"/>
      <c r="I92" s="238">
        <f>'GCs Detail'!$J75</f>
        <v>65</v>
      </c>
      <c r="J92" s="239">
        <f>'GCs Detail'!$H75</f>
        <v>0</v>
      </c>
      <c r="K92" s="240" t="str">
        <f>'GCs Detail'!$I75</f>
        <v>months</v>
      </c>
      <c r="L92" s="241">
        <f t="shared" si="15"/>
        <v>0</v>
      </c>
      <c r="M92" s="92"/>
      <c r="N92" s="73"/>
    </row>
    <row r="93" spans="3:14" ht="18.75" customHeight="1" x14ac:dyDescent="0.25">
      <c r="C93" s="34"/>
      <c r="D93" s="81"/>
      <c r="E93" s="552">
        <f>'GCs Detail'!$E76</f>
        <v>0</v>
      </c>
      <c r="F93" s="552"/>
      <c r="G93" s="553"/>
      <c r="H93" s="553"/>
      <c r="I93" s="554">
        <f>'GCs Detail'!$J76</f>
        <v>0</v>
      </c>
      <c r="J93" s="555">
        <f>'GCs Detail'!$H76</f>
        <v>0</v>
      </c>
      <c r="K93" s="556">
        <f>'GCs Detail'!$I76</f>
        <v>0</v>
      </c>
      <c r="L93" s="557">
        <f t="shared" si="15"/>
        <v>0</v>
      </c>
      <c r="M93" s="92"/>
      <c r="N93" s="73"/>
    </row>
    <row r="94" spans="3:14" ht="18.75" customHeight="1" x14ac:dyDescent="0.25">
      <c r="C94" s="34"/>
      <c r="D94" s="81"/>
      <c r="E94" s="82" t="str">
        <f>'GCs Detail'!$E77</f>
        <v>BIM 360</v>
      </c>
      <c r="F94" s="576"/>
      <c r="G94" s="553"/>
      <c r="H94" s="553"/>
      <c r="I94" s="554">
        <f>'GCs Detail'!$J77</f>
        <v>0</v>
      </c>
      <c r="J94" s="555">
        <f>'GCs Detail'!$H77</f>
        <v>0</v>
      </c>
      <c r="K94" s="556">
        <f>'GCs Detail'!$I77</f>
        <v>0</v>
      </c>
      <c r="L94" s="557">
        <f t="shared" si="15"/>
        <v>0</v>
      </c>
      <c r="M94" s="92"/>
      <c r="N94" s="73"/>
    </row>
    <row r="95" spans="3:14" ht="18.75" customHeight="1" x14ac:dyDescent="0.25">
      <c r="C95" s="34"/>
      <c r="D95" s="81"/>
      <c r="E95" s="88" t="str">
        <f>'GCs Detail'!$E78</f>
        <v>BIM 360</v>
      </c>
      <c r="F95" s="117"/>
      <c r="G95" s="89"/>
      <c r="H95" s="237"/>
      <c r="I95" s="238">
        <f>'GCs Detail'!$J78</f>
        <v>2.5000000000000001E-4</v>
      </c>
      <c r="J95" s="239">
        <f>'GCs Detail'!$H78</f>
        <v>0</v>
      </c>
      <c r="K95" s="240" t="str">
        <f>'GCs Detail'!$I78</f>
        <v>contract</v>
      </c>
      <c r="L95" s="241">
        <f t="shared" si="15"/>
        <v>0</v>
      </c>
      <c r="M95" s="92"/>
      <c r="N95" s="73"/>
    </row>
    <row r="96" spans="3:14" ht="18.75" customHeight="1" x14ac:dyDescent="0.25">
      <c r="C96" s="34"/>
      <c r="D96" s="81"/>
      <c r="E96" s="552">
        <f>'GCs Detail'!$E79</f>
        <v>0</v>
      </c>
      <c r="F96" s="552"/>
      <c r="G96" s="553"/>
      <c r="H96" s="553"/>
      <c r="I96" s="554">
        <f>'GCs Detail'!$J79</f>
        <v>0</v>
      </c>
      <c r="J96" s="555">
        <f>'GCs Detail'!$H79</f>
        <v>0</v>
      </c>
      <c r="K96" s="556">
        <f>'GCs Detail'!$I79</f>
        <v>0</v>
      </c>
      <c r="L96" s="557">
        <f t="shared" si="15"/>
        <v>0</v>
      </c>
      <c r="M96" s="92"/>
      <c r="N96" s="73"/>
    </row>
    <row r="97" spans="3:14" ht="18.75" customHeight="1" x14ac:dyDescent="0.25">
      <c r="C97" s="34"/>
      <c r="D97" s="81"/>
      <c r="E97" s="82" t="str">
        <f>'GCs Detail'!$E80</f>
        <v>BIM</v>
      </c>
      <c r="F97" s="576"/>
      <c r="G97" s="553"/>
      <c r="H97" s="553"/>
      <c r="I97" s="554">
        <f>'GCs Detail'!$J80</f>
        <v>0</v>
      </c>
      <c r="J97" s="555">
        <f>'GCs Detail'!$H80</f>
        <v>0</v>
      </c>
      <c r="K97" s="556">
        <f>'GCs Detail'!$I80</f>
        <v>0</v>
      </c>
      <c r="L97" s="557">
        <f t="shared" si="1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Detail'!$E81</f>
        <v>Scanning an Existing Building</v>
      </c>
      <c r="F98" s="117"/>
      <c r="G98" s="89"/>
      <c r="H98" s="237"/>
      <c r="I98" s="238">
        <f>'GCs Detail'!$J81</f>
        <v>0.3</v>
      </c>
      <c r="J98" s="239">
        <f>'GCs Detail'!$H81</f>
        <v>0</v>
      </c>
      <c r="K98" s="240" t="str">
        <f>'GCs Detail'!$I81</f>
        <v>sf</v>
      </c>
      <c r="L98" s="241">
        <f t="shared" si="1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Detail'!$E82</f>
        <v>QA/QC of a New Building</v>
      </c>
      <c r="F99" s="117"/>
      <c r="G99" s="89"/>
      <c r="H99" s="237"/>
      <c r="I99" s="238">
        <f>'GCs Detail'!$J82</f>
        <v>0.6</v>
      </c>
      <c r="J99" s="239">
        <f>'GCs Detail'!$H82</f>
        <v>0</v>
      </c>
      <c r="K99" s="240" t="str">
        <f>'GCs Detail'!$I82</f>
        <v>sf</v>
      </c>
      <c r="L99" s="241">
        <f t="shared" si="15"/>
        <v>0</v>
      </c>
      <c r="M99" s="92"/>
      <c r="N99" s="73"/>
    </row>
    <row r="100" spans="3:14" ht="18.75" customHeight="1" x14ac:dyDescent="0.25">
      <c r="C100" s="34"/>
      <c r="D100" s="81"/>
      <c r="E100" s="552">
        <f>'GCs Detail'!$E83</f>
        <v>0</v>
      </c>
      <c r="F100" s="552"/>
      <c r="G100" s="553"/>
      <c r="H100" s="553"/>
      <c r="I100" s="554">
        <f>'GCs Detail'!$J83</f>
        <v>0</v>
      </c>
      <c r="J100" s="555">
        <f>'GCs Detail'!$H83</f>
        <v>0</v>
      </c>
      <c r="K100" s="556">
        <f>'GCs Detail'!$I83</f>
        <v>0</v>
      </c>
      <c r="L100" s="557">
        <f t="shared" si="15"/>
        <v>0</v>
      </c>
      <c r="M100" s="92"/>
      <c r="N100" s="73"/>
    </row>
    <row r="101" spans="3:14" ht="18.75" customHeight="1" x14ac:dyDescent="0.25">
      <c r="C101" s="34"/>
      <c r="D101" s="81"/>
      <c r="E101" s="82" t="str">
        <f>'GCs Detail'!$E84</f>
        <v>LEAN CONSULTING</v>
      </c>
      <c r="F101" s="576"/>
      <c r="G101" s="553"/>
      <c r="H101" s="553"/>
      <c r="I101" s="554">
        <f>'GCs Detail'!$J84</f>
        <v>0</v>
      </c>
      <c r="J101" s="555">
        <f>'GCs Detail'!$H84</f>
        <v>0</v>
      </c>
      <c r="K101" s="556">
        <f>'GCs Detail'!$I84</f>
        <v>0</v>
      </c>
      <c r="L101" s="557">
        <f t="shared" si="15"/>
        <v>0</v>
      </c>
      <c r="M101" s="92"/>
      <c r="N101" s="73"/>
    </row>
    <row r="102" spans="3:14" ht="18.75" customHeight="1" x14ac:dyDescent="0.25">
      <c r="C102" s="34"/>
      <c r="D102" s="81"/>
      <c r="E102" s="88" t="str">
        <f>'GCs Detail'!$E85</f>
        <v>Internal Consulting</v>
      </c>
      <c r="F102" s="117"/>
      <c r="G102" s="89"/>
      <c r="H102" s="237"/>
      <c r="I102" s="238">
        <f>'GCs Detail'!$J85</f>
        <v>0</v>
      </c>
      <c r="J102" s="239">
        <f>'GCs Detail'!$H85</f>
        <v>0</v>
      </c>
      <c r="K102" s="240" t="str">
        <f>'GCs Detail'!$I85</f>
        <v>months</v>
      </c>
      <c r="L102" s="241">
        <f t="shared" si="15"/>
        <v>0</v>
      </c>
      <c r="M102" s="92"/>
      <c r="N102" s="73"/>
    </row>
    <row r="103" spans="3:14" ht="18.75" customHeight="1" x14ac:dyDescent="0.25">
      <c r="C103" s="34"/>
      <c r="D103" s="81"/>
      <c r="E103" s="88" t="str">
        <f>'GCs Detail'!$E86</f>
        <v>Touchplan Fees, Monthly</v>
      </c>
      <c r="F103" s="117"/>
      <c r="G103" s="89"/>
      <c r="H103" s="237"/>
      <c r="I103" s="238">
        <f>'GCs Detail'!$J86</f>
        <v>0</v>
      </c>
      <c r="J103" s="239">
        <f>'GCs Detail'!$H86</f>
        <v>0</v>
      </c>
      <c r="K103" s="240" t="str">
        <f>'GCs Detail'!$I86</f>
        <v>months</v>
      </c>
      <c r="L103" s="241">
        <f t="shared" si="15"/>
        <v>0</v>
      </c>
      <c r="M103" s="92"/>
      <c r="N103" s="73"/>
    </row>
    <row r="104" spans="3:14" ht="18.75" customHeight="1" x14ac:dyDescent="0.25">
      <c r="C104" s="34"/>
      <c r="D104" s="81"/>
      <c r="E104" s="88" t="str">
        <f>'GCs Detail'!$E87</f>
        <v>Touchplan Fees, One Time Fee</v>
      </c>
      <c r="F104" s="117"/>
      <c r="G104" s="89"/>
      <c r="H104" s="237"/>
      <c r="I104" s="238">
        <f>'GCs Detail'!$J87</f>
        <v>0</v>
      </c>
      <c r="J104" s="239">
        <f>'GCs Detail'!$H87</f>
        <v>0</v>
      </c>
      <c r="K104" s="240" t="str">
        <f>'GCs Detail'!$I87</f>
        <v>ls</v>
      </c>
      <c r="L104" s="241">
        <f t="shared" si="15"/>
        <v>0</v>
      </c>
      <c r="M104" s="92"/>
      <c r="N104" s="73"/>
    </row>
    <row r="105" spans="3:14" ht="18.75" customHeight="1" x14ac:dyDescent="0.25">
      <c r="C105" s="34"/>
      <c r="D105" s="81"/>
      <c r="E105" s="552">
        <f>'GCs Detail'!$E88</f>
        <v>0</v>
      </c>
      <c r="F105" s="552"/>
      <c r="G105" s="553"/>
      <c r="H105" s="553"/>
      <c r="I105" s="554">
        <f>'GCs Detail'!$J88</f>
        <v>0</v>
      </c>
      <c r="J105" s="555">
        <f>'GCs Detail'!$H88</f>
        <v>0</v>
      </c>
      <c r="K105" s="556">
        <f>'GCs Detail'!$I88</f>
        <v>0</v>
      </c>
      <c r="L105" s="557">
        <f t="shared" si="15"/>
        <v>0</v>
      </c>
      <c r="M105" s="92"/>
      <c r="N105" s="73"/>
    </row>
    <row r="106" spans="3:14" ht="18.75" customHeight="1" x14ac:dyDescent="0.25">
      <c r="C106" s="34"/>
      <c r="D106" s="81"/>
      <c r="E106" s="82" t="str">
        <f>'GCs Detail'!$E89</f>
        <v>MISCELLANEOUS EXPENSES</v>
      </c>
      <c r="F106" s="576"/>
      <c r="G106" s="553"/>
      <c r="H106" s="553"/>
      <c r="I106" s="554">
        <f>'GCs Detail'!$J89</f>
        <v>0</v>
      </c>
      <c r="J106" s="555">
        <f>'GCs Detail'!$H89</f>
        <v>0</v>
      </c>
      <c r="K106" s="556">
        <f>'GCs Detail'!$I89</f>
        <v>0</v>
      </c>
      <c r="L106" s="557">
        <f t="shared" si="15"/>
        <v>0</v>
      </c>
      <c r="M106" s="92"/>
      <c r="N106" s="73"/>
    </row>
    <row r="107" spans="3:14" ht="18.75" customHeight="1" x14ac:dyDescent="0.25">
      <c r="C107" s="34"/>
      <c r="D107" s="81"/>
      <c r="E107" s="88" t="str">
        <f>'GCs Detail'!$E90</f>
        <v>Suffolk Project Sign</v>
      </c>
      <c r="F107" s="117"/>
      <c r="G107" s="89"/>
      <c r="H107" s="237"/>
      <c r="I107" s="238">
        <f>'GCs Detail'!$J90</f>
        <v>5000</v>
      </c>
      <c r="J107" s="239">
        <f>'GCs Detail'!$H90</f>
        <v>0</v>
      </c>
      <c r="K107" s="240" t="str">
        <f>'GCs Detail'!$I90</f>
        <v>lsum</v>
      </c>
      <c r="L107" s="241">
        <f t="shared" si="15"/>
        <v>0</v>
      </c>
      <c r="M107" s="92"/>
      <c r="N107" s="73"/>
    </row>
    <row r="108" spans="3:14" ht="18.75" customHeight="1" x14ac:dyDescent="0.25">
      <c r="C108" s="34"/>
      <c r="D108" s="81"/>
      <c r="E108" s="88" t="str">
        <f>'GCs Detail'!$E91</f>
        <v>Marketing Photographs</v>
      </c>
      <c r="F108" s="117"/>
      <c r="G108" s="89"/>
      <c r="H108" s="237"/>
      <c r="I108" s="238">
        <f>'GCs Detail'!$J91</f>
        <v>0</v>
      </c>
      <c r="J108" s="239">
        <f>'GCs Detail'!$H91</f>
        <v>0</v>
      </c>
      <c r="K108" s="240" t="str">
        <f>'GCs Detail'!$I91</f>
        <v>lsum</v>
      </c>
      <c r="L108" s="241">
        <f t="shared" si="15"/>
        <v>0</v>
      </c>
      <c r="M108" s="92"/>
      <c r="N108" s="73"/>
    </row>
    <row r="109" spans="3:14" ht="18.75" customHeight="1" x14ac:dyDescent="0.25">
      <c r="C109" s="34"/>
      <c r="D109" s="81"/>
      <c r="E109" s="88" t="str">
        <f>'GCs Detail'!$E92</f>
        <v>Aerial Photos</v>
      </c>
      <c r="F109" s="117"/>
      <c r="G109" s="89"/>
      <c r="H109" s="237"/>
      <c r="I109" s="238">
        <f>'GCs Detail'!$J92</f>
        <v>0</v>
      </c>
      <c r="J109" s="239">
        <f>'GCs Detail'!$H92</f>
        <v>0</v>
      </c>
      <c r="K109" s="240" t="str">
        <f>'GCs Detail'!$I92</f>
        <v>lsum</v>
      </c>
      <c r="L109" s="241">
        <f t="shared" si="15"/>
        <v>0</v>
      </c>
      <c r="M109" s="92"/>
      <c r="N109" s="73"/>
    </row>
    <row r="110" spans="3:14" ht="18.75" customHeight="1" x14ac:dyDescent="0.25">
      <c r="C110" s="34"/>
      <c r="D110" s="81"/>
      <c r="E110" s="88" t="str">
        <f>'GCs Detail'!$E93</f>
        <v>Client Entertainment</v>
      </c>
      <c r="F110" s="117"/>
      <c r="G110" s="89"/>
      <c r="H110" s="237"/>
      <c r="I110" s="238">
        <f>'GCs Detail'!$J93</f>
        <v>0</v>
      </c>
      <c r="J110" s="239">
        <f>'GCs Detail'!$H93</f>
        <v>0</v>
      </c>
      <c r="K110" s="240" t="str">
        <f>'GCs Detail'!$I93</f>
        <v>lsum</v>
      </c>
      <c r="L110" s="241">
        <f t="shared" si="15"/>
        <v>0</v>
      </c>
      <c r="M110" s="92"/>
      <c r="N110" s="73"/>
    </row>
    <row r="111" spans="3:14" ht="18.75" customHeight="1" x14ac:dyDescent="0.25">
      <c r="C111" s="34"/>
      <c r="D111" s="81"/>
      <c r="E111" s="88" t="str">
        <f>'GCs Detail'!$E94</f>
        <v>Topping Off Ceremony</v>
      </c>
      <c r="F111" s="117"/>
      <c r="G111" s="89"/>
      <c r="H111" s="237"/>
      <c r="I111" s="238">
        <f>'GCs Detail'!$J94</f>
        <v>0</v>
      </c>
      <c r="J111" s="239">
        <f>'GCs Detail'!$H94</f>
        <v>0</v>
      </c>
      <c r="K111" s="240" t="str">
        <f>'GCs Detail'!$I94</f>
        <v>lsum</v>
      </c>
      <c r="L111" s="241">
        <f t="shared" si="15"/>
        <v>0</v>
      </c>
      <c r="M111" s="92"/>
      <c r="N111" s="73"/>
    </row>
    <row r="112" spans="3:14" ht="18.75" customHeight="1" x14ac:dyDescent="0.25">
      <c r="C112" s="34"/>
      <c r="D112" s="81"/>
      <c r="E112" s="552">
        <f>'GCs Detail'!$E95</f>
        <v>0</v>
      </c>
      <c r="F112" s="552"/>
      <c r="G112" s="553"/>
      <c r="H112" s="553"/>
      <c r="I112" s="554">
        <f>'GCs Detail'!$J95</f>
        <v>0</v>
      </c>
      <c r="J112" s="555">
        <f>'GCs Detail'!$H95</f>
        <v>0</v>
      </c>
      <c r="K112" s="556">
        <f>'GCs Detail'!$I95</f>
        <v>0</v>
      </c>
      <c r="L112" s="557">
        <f t="shared" si="15"/>
        <v>0</v>
      </c>
      <c r="M112" s="92"/>
      <c r="N112" s="73"/>
    </row>
    <row r="113" spans="1:14" ht="21.6" customHeight="1" x14ac:dyDescent="0.25">
      <c r="C113" s="34"/>
      <c r="D113" s="20"/>
      <c r="E113" s="95"/>
      <c r="F113" s="95"/>
      <c r="G113" s="96"/>
      <c r="H113" s="96"/>
      <c r="I113" s="97"/>
      <c r="J113" s="98"/>
      <c r="K113" s="99"/>
      <c r="L113" s="100"/>
      <c r="M113" s="100"/>
      <c r="N113" s="73"/>
    </row>
    <row r="114" spans="1:14" ht="21.6" customHeight="1" x14ac:dyDescent="0.25">
      <c r="C114" s="34"/>
      <c r="D114" s="20"/>
      <c r="E114" s="101" t="s">
        <v>397</v>
      </c>
      <c r="F114" s="101"/>
      <c r="G114" s="102"/>
      <c r="H114" s="102"/>
      <c r="I114" s="102"/>
      <c r="J114" s="102"/>
      <c r="K114" s="103"/>
      <c r="L114" s="593">
        <f>SUM(L113:L113)</f>
        <v>0</v>
      </c>
      <c r="M114" s="104"/>
      <c r="N114" s="73"/>
    </row>
    <row r="115" spans="1:14" ht="21.6" customHeight="1" thickBot="1" x14ac:dyDescent="0.3">
      <c r="C115" s="34"/>
      <c r="D115" s="20"/>
      <c r="E115" s="20"/>
      <c r="F115" s="20"/>
      <c r="G115" s="20"/>
      <c r="H115" s="20"/>
      <c r="I115" s="20"/>
      <c r="J115" s="20"/>
      <c r="K115" s="594" t="s">
        <v>957</v>
      </c>
      <c r="L115" s="596" t="e">
        <f ca="1">CEILING('GCs Detail'!J2-\gctotal,2)</f>
        <v>#NAME?</v>
      </c>
      <c r="M115" s="20"/>
      <c r="N115" s="73"/>
    </row>
    <row r="116" spans="1:14" ht="15" x14ac:dyDescent="0.25">
      <c r="D116" s="7"/>
      <c r="E116" s="7"/>
      <c r="F116" s="7"/>
      <c r="G116" s="7"/>
      <c r="H116" s="7"/>
      <c r="I116" s="7"/>
      <c r="J116" s="7"/>
      <c r="K116" s="7"/>
      <c r="L116" s="7"/>
      <c r="M116" s="7"/>
    </row>
    <row r="117" spans="1:14" ht="16.5" thickBot="1" x14ac:dyDescent="0.3">
      <c r="C117" s="42"/>
      <c r="D117" s="105" t="s">
        <v>393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</row>
    <row r="118" spans="1:14" ht="15" x14ac:dyDescent="0.25">
      <c r="C118" s="34"/>
      <c r="D118" s="106"/>
      <c r="E118" s="107"/>
      <c r="F118" s="107"/>
      <c r="G118" s="107"/>
      <c r="H118" s="107"/>
      <c r="I118" s="107"/>
      <c r="J118" s="107"/>
      <c r="K118" s="107"/>
      <c r="L118" s="107"/>
      <c r="M118" s="108"/>
      <c r="N118" s="73"/>
    </row>
    <row r="119" spans="1:14" ht="15.75" thickBot="1" x14ac:dyDescent="0.3">
      <c r="C119" s="34"/>
      <c r="D119" s="109"/>
      <c r="E119" s="110"/>
      <c r="F119" s="110"/>
      <c r="G119" s="110"/>
      <c r="H119" s="110"/>
      <c r="I119" s="110"/>
      <c r="J119" s="110"/>
      <c r="K119" s="110"/>
      <c r="L119" s="110"/>
      <c r="M119" s="111"/>
      <c r="N119" s="73"/>
    </row>
    <row r="120" spans="1:14" ht="120.6" customHeight="1" x14ac:dyDescent="0.25"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</row>
    <row r="121" spans="1:14" ht="15" x14ac:dyDescent="0.25"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</row>
    <row r="122" spans="1:14" ht="15" hidden="1" x14ac:dyDescent="0.25"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4" ht="18.75" hidden="1" customHeight="1" x14ac:dyDescent="0.25">
      <c r="C123" s="34"/>
      <c r="D123" s="81"/>
      <c r="E123" s="88" t="s">
        <v>394</v>
      </c>
      <c r="F123" s="117"/>
      <c r="G123" s="89"/>
      <c r="H123" s="237"/>
      <c r="I123" s="238"/>
      <c r="J123" s="239"/>
      <c r="K123" s="240"/>
      <c r="L123" s="241"/>
      <c r="M123" s="92"/>
      <c r="N123" s="73"/>
    </row>
    <row r="124" spans="1:14" ht="18.75" hidden="1" customHeight="1" x14ac:dyDescent="0.25">
      <c r="C124" s="34"/>
      <c r="D124" s="81"/>
      <c r="E124" s="82" t="s">
        <v>395</v>
      </c>
      <c r="F124" s="576"/>
      <c r="G124" s="553"/>
      <c r="H124" s="553"/>
      <c r="I124" s="554"/>
      <c r="J124" s="555"/>
      <c r="K124" s="556"/>
      <c r="L124" s="557"/>
      <c r="M124" s="92"/>
      <c r="N124" s="73"/>
    </row>
    <row r="125" spans="1:14" ht="18.75" hidden="1" customHeight="1" x14ac:dyDescent="0.25">
      <c r="C125" s="34"/>
      <c r="D125" s="81"/>
      <c r="E125" s="552"/>
      <c r="F125" s="552"/>
      <c r="G125" s="553"/>
      <c r="H125" s="553"/>
      <c r="I125" s="554"/>
      <c r="J125" s="555"/>
      <c r="K125" s="556"/>
      <c r="L125" s="557"/>
      <c r="M125" s="92"/>
      <c r="N125" s="73"/>
    </row>
    <row r="126" spans="1:14" ht="15" hidden="1" x14ac:dyDescent="0.25">
      <c r="A126" s="116"/>
      <c r="B126" s="116"/>
      <c r="C126" s="116"/>
      <c r="D126" s="116"/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</row>
    <row r="127" spans="1:14" s="575" customFormat="1" ht="18.75" hidden="1" customHeight="1" x14ac:dyDescent="0.25">
      <c r="A127" s="569" t="e">
        <f>#REF!</f>
        <v>#REF!</v>
      </c>
      <c r="B127" s="569"/>
      <c r="C127" s="570"/>
      <c r="D127" s="81"/>
      <c r="E127" s="82"/>
      <c r="F127" s="82"/>
      <c r="G127" s="89"/>
      <c r="H127" s="571"/>
      <c r="I127" s="572"/>
      <c r="J127" s="238"/>
      <c r="K127" s="573"/>
      <c r="L127" s="92"/>
      <c r="M127" s="92"/>
      <c r="N127" s="574"/>
    </row>
    <row r="128" spans="1:14" ht="18.75" hidden="1" customHeight="1" x14ac:dyDescent="0.25">
      <c r="A128" s="2" t="e">
        <f>#REF!</f>
        <v>#REF!</v>
      </c>
      <c r="C128" s="34"/>
      <c r="D128" s="81"/>
      <c r="E128" s="82"/>
      <c r="F128" s="82"/>
      <c r="G128" s="89"/>
      <c r="H128" s="89"/>
      <c r="I128" s="90"/>
      <c r="J128" s="91"/>
      <c r="K128" s="93"/>
      <c r="L128" s="92"/>
      <c r="M128" s="92"/>
      <c r="N128" s="73"/>
    </row>
    <row r="129" spans="1:14" ht="18.75" hidden="1" customHeight="1" x14ac:dyDescent="0.25">
      <c r="A129" s="2" t="e">
        <f>#REF!</f>
        <v>#REF!</v>
      </c>
      <c r="C129" s="34"/>
      <c r="D129" s="81"/>
      <c r="E129" s="82"/>
      <c r="F129" s="82"/>
      <c r="G129" s="89"/>
      <c r="H129" s="89"/>
      <c r="I129" s="90"/>
      <c r="J129" s="91"/>
      <c r="K129" s="93"/>
      <c r="L129" s="92"/>
      <c r="M129" s="92"/>
      <c r="N129" s="73"/>
    </row>
    <row r="130" spans="1:14" ht="18.75" hidden="1" customHeight="1" x14ac:dyDescent="0.25">
      <c r="A130" s="2" t="e">
        <f>#REF!</f>
        <v>#REF!</v>
      </c>
      <c r="C130" s="34"/>
      <c r="D130" s="81"/>
      <c r="E130" s="82"/>
      <c r="F130" s="82"/>
      <c r="G130" s="89"/>
      <c r="H130" s="89"/>
      <c r="I130" s="90"/>
      <c r="J130" s="91"/>
      <c r="K130" s="93"/>
      <c r="L130" s="92"/>
      <c r="M130" s="92"/>
      <c r="N130" s="73"/>
    </row>
    <row r="131" spans="1:14" ht="18.75" hidden="1" customHeight="1" x14ac:dyDescent="0.25">
      <c r="A131" s="2" t="e">
        <f>#REF!</f>
        <v>#REF!</v>
      </c>
      <c r="C131" s="34"/>
      <c r="D131" s="81"/>
      <c r="E131" s="88" t="str">
        <f>'GCs Detail'!$E$53</f>
        <v>Cisco VoiP phone</v>
      </c>
      <c r="F131" s="117"/>
      <c r="G131" s="89"/>
      <c r="H131" s="237"/>
      <c r="I131" s="238" t="e">
        <f>'GCs Detail'!#REF!</f>
        <v>#REF!</v>
      </c>
      <c r="J131" s="239" t="e">
        <f>'GCs Detail'!#REF!</f>
        <v>#REF!</v>
      </c>
      <c r="K131" s="240" t="e">
        <f>'GCs Detail'!#REF!</f>
        <v>#REF!</v>
      </c>
      <c r="L131" s="94" t="e">
        <f t="shared" ref="L131" si="16">SUM(I131*J131)</f>
        <v>#REF!</v>
      </c>
      <c r="M131" s="92"/>
      <c r="N131" s="73"/>
    </row>
    <row r="132" spans="1:14" ht="18.75" hidden="1" customHeight="1" x14ac:dyDescent="0.25">
      <c r="A132" s="2" t="e">
        <f>#REF!</f>
        <v>#REF!</v>
      </c>
      <c r="C132" s="34"/>
      <c r="D132" s="81"/>
      <c r="E132" s="551" t="e">
        <f>'Staff Detail'!#REF!</f>
        <v>#REF!</v>
      </c>
      <c r="F132" s="552" t="e">
        <f>'Staff Detail'!#REF!</f>
        <v>#REF!</v>
      </c>
      <c r="G132" s="553"/>
      <c r="H132" s="553" t="e">
        <f>'Staff Detail'!#REF!</f>
        <v>#REF!</v>
      </c>
      <c r="I132" s="554" t="e">
        <f>'Staff Detail'!#REF!</f>
        <v>#REF!</v>
      </c>
      <c r="J132" s="555" t="e">
        <f>'Staff Detail'!#REF!</f>
        <v>#REF!</v>
      </c>
      <c r="K132" s="556" t="s">
        <v>36</v>
      </c>
      <c r="L132" s="557" t="e">
        <f t="shared" ref="L132" si="17">J132*I132</f>
        <v>#REF!</v>
      </c>
      <c r="M132" s="557"/>
      <c r="N132" s="73"/>
    </row>
    <row r="133" spans="1:14" ht="18.75" hidden="1" customHeight="1" x14ac:dyDescent="0.25">
      <c r="A133" s="2" t="e">
        <f>#REF!</f>
        <v>#REF!</v>
      </c>
      <c r="C133" s="34"/>
      <c r="D133" s="81"/>
      <c r="E133" s="551" t="e">
        <f>'Staff Detail'!#REF!</f>
        <v>#REF!</v>
      </c>
      <c r="F133" s="552" t="e">
        <f>'Staff Detail'!#REF!</f>
        <v>#REF!</v>
      </c>
      <c r="G133" s="553"/>
      <c r="H133" s="553" t="e">
        <f>'Staff Detail'!#REF!</f>
        <v>#REF!</v>
      </c>
      <c r="I133" s="554" t="e">
        <f>'Staff Detail'!#REF!</f>
        <v>#REF!</v>
      </c>
      <c r="J133" s="555" t="e">
        <f>'Staff Detail'!#REF!</f>
        <v>#REF!</v>
      </c>
      <c r="K133" s="556" t="s">
        <v>36</v>
      </c>
      <c r="L133" s="557" t="e">
        <f t="shared" ref="L133" si="18">J133*I133</f>
        <v>#REF!</v>
      </c>
      <c r="M133" s="557"/>
      <c r="N133" s="73"/>
    </row>
    <row r="134" spans="1:14" ht="18.75" hidden="1" customHeight="1" x14ac:dyDescent="0.25">
      <c r="A134" s="2">
        <f>A29</f>
        <v>0</v>
      </c>
      <c r="C134" s="34"/>
      <c r="D134" s="81"/>
      <c r="E134" s="552"/>
      <c r="F134" s="552"/>
      <c r="G134" s="553"/>
      <c r="H134" s="553"/>
      <c r="I134" s="554"/>
      <c r="J134" s="555"/>
      <c r="K134" s="556"/>
      <c r="L134" s="557"/>
      <c r="M134" s="92"/>
      <c r="N134" s="73"/>
    </row>
    <row r="135" spans="1:14" ht="18.75" hidden="1" customHeight="1" x14ac:dyDescent="0.25">
      <c r="A135" s="2">
        <f>A111</f>
        <v>0</v>
      </c>
      <c r="C135" s="34"/>
      <c r="D135" s="81"/>
      <c r="E135" s="88" t="s">
        <v>978</v>
      </c>
      <c r="F135" s="117"/>
      <c r="G135" s="89"/>
      <c r="H135" s="237"/>
      <c r="I135" s="238"/>
      <c r="J135" s="239"/>
      <c r="K135" s="240"/>
      <c r="L135" s="241"/>
      <c r="M135" s="92"/>
      <c r="N135" s="73"/>
    </row>
    <row r="136" spans="1:14" ht="15" hidden="1" x14ac:dyDescent="0.25">
      <c r="A136" s="116"/>
      <c r="B136" s="116"/>
      <c r="C136" s="116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16"/>
    </row>
    <row r="137" spans="1:14" ht="18.75" hidden="1" customHeight="1" x14ac:dyDescent="0.25"/>
    <row r="138" spans="1:14" ht="18.75" hidden="1" customHeight="1" x14ac:dyDescent="0.25"/>
    <row r="139" spans="1:14" ht="18.75" hidden="1" customHeight="1" x14ac:dyDescent="0.25">
      <c r="C139" s="34"/>
      <c r="D139" s="81"/>
      <c r="E139" s="551" t="s">
        <v>513</v>
      </c>
      <c r="F139" s="552"/>
      <c r="G139" s="553"/>
      <c r="H139" s="553"/>
      <c r="I139" s="554"/>
      <c r="J139" s="555"/>
      <c r="K139" s="556"/>
      <c r="L139" s="557"/>
      <c r="M139" s="557"/>
      <c r="N139" s="73"/>
    </row>
    <row r="140" spans="1:14" ht="18.75" hidden="1" customHeight="1" x14ac:dyDescent="0.25"/>
    <row r="141" spans="1:14" ht="18.75" hidden="1" customHeight="1" x14ac:dyDescent="0.25"/>
    <row r="142" spans="1:14" ht="18.75" hidden="1" customHeight="1" x14ac:dyDescent="0.25"/>
    <row r="143" spans="1:14" ht="18.75" hidden="1" customHeight="1" x14ac:dyDescent="0.25"/>
    <row r="144" spans="1:1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18.75" hidden="1" customHeight="1" x14ac:dyDescent="0.25"/>
    <row r="171" ht="18.75" hidden="1" customHeight="1" x14ac:dyDescent="0.25"/>
    <row r="172" ht="18.75" hidden="1" customHeight="1" x14ac:dyDescent="0.25"/>
    <row r="173" ht="18.75" hidden="1" customHeight="1" x14ac:dyDescent="0.25"/>
    <row r="174" ht="18.75" hidden="1" customHeight="1" x14ac:dyDescent="0.25"/>
    <row r="175" ht="18.75" hidden="1" customHeight="1" x14ac:dyDescent="0.25"/>
    <row r="176" ht="18.75" hidden="1" customHeight="1" x14ac:dyDescent="0.25"/>
    <row r="177" ht="18.75" hidden="1" customHeight="1" x14ac:dyDescent="0.25"/>
    <row r="178" ht="18.75" hidden="1" customHeight="1" x14ac:dyDescent="0.25"/>
    <row r="179" ht="18.75" hidden="1" customHeight="1" x14ac:dyDescent="0.25"/>
    <row r="180" ht="18.75" hidden="1" customHeight="1" x14ac:dyDescent="0.25"/>
    <row r="181" ht="18.75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  <row r="734" ht="0" hidden="1" customHeight="1" x14ac:dyDescent="0.25"/>
    <row r="735" ht="0" hidden="1" customHeight="1" x14ac:dyDescent="0.25"/>
    <row r="736" ht="0" hidden="1" customHeight="1" x14ac:dyDescent="0.25"/>
    <row r="737" ht="0" hidden="1" customHeight="1" x14ac:dyDescent="0.25"/>
    <row r="738" ht="0" hidden="1" customHeight="1" x14ac:dyDescent="0.25"/>
    <row r="739" ht="0" hidden="1" customHeight="1" x14ac:dyDescent="0.25"/>
    <row r="740" ht="0" hidden="1" customHeight="1" x14ac:dyDescent="0.25"/>
    <row r="741" ht="0" hidden="1" customHeight="1" x14ac:dyDescent="0.25"/>
    <row r="742" ht="0" hidden="1" customHeight="1" x14ac:dyDescent="0.25"/>
    <row r="743" ht="0" hidden="1" customHeight="1" x14ac:dyDescent="0.25"/>
    <row r="744" ht="0" hidden="1" customHeight="1" x14ac:dyDescent="0.25"/>
    <row r="745" ht="0" hidden="1" customHeight="1" x14ac:dyDescent="0.25"/>
    <row r="746" ht="0" hidden="1" customHeight="1" x14ac:dyDescent="0.25"/>
    <row r="747" ht="0" hidden="1" customHeight="1" x14ac:dyDescent="0.25"/>
    <row r="748" ht="0" hidden="1" customHeight="1" x14ac:dyDescent="0.25"/>
    <row r="749" ht="0" hidden="1" customHeight="1" x14ac:dyDescent="0.25"/>
  </sheetData>
  <sheetProtection sheet="1" scenarios="1" formatCells="0" formatColumns="0" formatRows="0" insertHyperlink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$L$114&lt;&gt;'GCs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L114</xm:sqref>
        </x14:conditionalFormatting>
        <x14:conditionalFormatting xmlns:xm="http://schemas.microsoft.com/office/excel/2006/main">
          <x14:cfRule type="expression" priority="2" id="{C902A3B1-F93A-4AB6-98C9-B60A5E8BC07E}">
            <xm:f>$L$114&lt;&gt;'GCs Detail'!$J$2:$K$2</xm:f>
            <x14:dxf>
              <font>
                <b/>
                <i/>
                <color rgb="FFFF0000"/>
              </font>
            </x14:dxf>
          </x14:cfRule>
          <xm:sqref>K115</xm:sqref>
        </x14:conditionalFormatting>
        <x14:conditionalFormatting xmlns:xm="http://schemas.microsoft.com/office/excel/2006/main">
          <x14:cfRule type="expression" priority="1" id="{06912F96-D668-45BD-9914-85C64A638CF4}">
            <xm:f>$L$114&lt;&gt;'GCs Detail'!$J$2:$K$2</xm:f>
            <x14:dxf>
              <font>
                <b/>
                <i/>
                <color rgb="FFFF0000"/>
              </font>
            </x14:dxf>
          </x14:cfRule>
          <xm:sqref>L115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8"/>
  <sheetViews>
    <sheetView zoomScale="85" zoomScaleNormal="85" workbookViewId="0">
      <selection activeCell="E190" sqref="E190"/>
    </sheetView>
  </sheetViews>
  <sheetFormatPr defaultColWidth="0" defaultRowHeight="15" zeroHeight="1" x14ac:dyDescent="0.25"/>
  <cols>
    <col min="1" max="1" width="1.7109375" style="2" customWidth="1"/>
    <col min="2" max="2" width="29.7109375" style="2" customWidth="1"/>
    <col min="3" max="3" width="2.28515625" style="2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customWidth="1"/>
  </cols>
  <sheetData>
    <row r="1" spans="2:14" ht="41.45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43333.416436111111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thickBot="1" x14ac:dyDescent="0.3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</sheetData>
  <sheetProtection sheet="1" scenarios="1" formatCells="0" formatColumns="0" formatRows="0" insertHyperlink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C3AB1-B2CC-4573-8F2E-770BAE0FFDD9}">
  <sheetPr codeName="Sheet14"/>
  <dimension ref="A1:C1"/>
  <sheetViews>
    <sheetView workbookViewId="0">
      <selection activeCell="E6" sqref="E6"/>
    </sheetView>
  </sheetViews>
  <sheetFormatPr defaultRowHeight="15" x14ac:dyDescent="0.25"/>
  <sheetData>
    <row r="1" spans="1:3" x14ac:dyDescent="0.25">
      <c r="A1">
        <v>1</v>
      </c>
      <c r="B1">
        <v>1</v>
      </c>
      <c r="C1">
        <v>2</v>
      </c>
    </row>
  </sheetData>
  <sheetProtection sheet="1" scenarios="1" formatCells="0" formatColumns="0" formatRows="0" insertHyperlinks="0" sort="0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x14ac:dyDescent="0.25">
      <c r="A2" s="599"/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formatCells="0" formatColumns="0" formatRows="0" insertHyperlink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A13" workbookViewId="0">
      <selection activeCell="Z40" sqref="Z40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0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968</v>
      </c>
      <c r="Z16" s="499" t="s">
        <v>976</v>
      </c>
      <c r="AA16" s="496" t="s">
        <v>372</v>
      </c>
      <c r="AB16" s="499" t="s">
        <v>969</v>
      </c>
      <c r="AC16" s="499" t="s">
        <v>970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43451</v>
      </c>
      <c r="S17" s="498">
        <f>R17</f>
        <v>43451</v>
      </c>
      <c r="T17" s="489"/>
      <c r="U17" s="489"/>
      <c r="V17" s="489"/>
      <c r="X17" s="493" t="s">
        <v>282</v>
      </c>
      <c r="Y17" s="499" t="s">
        <v>968</v>
      </c>
      <c r="Z17" s="499" t="s">
        <v>976</v>
      </c>
      <c r="AA17" s="496" t="s">
        <v>372</v>
      </c>
      <c r="AB17" s="499" t="s">
        <v>969</v>
      </c>
      <c r="AC17" s="499" t="s">
        <v>970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43633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969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43815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969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43997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969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44179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969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44361</v>
      </c>
      <c r="T22" s="489"/>
      <c r="U22" s="489"/>
      <c r="V22" s="489"/>
      <c r="X22" s="493" t="s">
        <v>291</v>
      </c>
      <c r="Y22" s="499" t="s">
        <v>968</v>
      </c>
      <c r="Z22" s="499" t="s">
        <v>976</v>
      </c>
      <c r="AA22" s="496" t="s">
        <v>372</v>
      </c>
      <c r="AB22" s="499" t="s">
        <v>969</v>
      </c>
      <c r="AC22" s="499" t="s">
        <v>970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44543</v>
      </c>
      <c r="T23" s="489"/>
      <c r="U23" s="489"/>
      <c r="V23" s="489"/>
      <c r="X23" s="493" t="s">
        <v>293</v>
      </c>
      <c r="Y23" s="499" t="s">
        <v>968</v>
      </c>
      <c r="Z23" s="499" t="s">
        <v>976</v>
      </c>
      <c r="AA23" s="496" t="s">
        <v>483</v>
      </c>
      <c r="AB23" s="499" t="s">
        <v>969</v>
      </c>
      <c r="AC23" s="499" t="s">
        <v>970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968</v>
      </c>
      <c r="Z24" s="499" t="s">
        <v>976</v>
      </c>
      <c r="AA24" s="496" t="s">
        <v>483</v>
      </c>
      <c r="AB24" s="499" t="s">
        <v>969</v>
      </c>
      <c r="AC24" s="499" t="s">
        <v>970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968</v>
      </c>
      <c r="Z25" s="499" t="s">
        <v>976</v>
      </c>
      <c r="AA25" s="496" t="s">
        <v>483</v>
      </c>
      <c r="AB25" s="499" t="s">
        <v>969</v>
      </c>
      <c r="AC25" s="499" t="s">
        <v>970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 t="e">
        <f ca="1">tbl(\t_commBIM,M30)</f>
        <v>#NAME?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 t="e">
        <f ca="1">trailertbl(Q29,Q28)</f>
        <v>#NAME?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972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975</v>
      </c>
      <c r="R35" s="678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967</v>
      </c>
      <c r="R36" s="678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78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Hyperlink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43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Hyperlink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Hyperlink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334</vt:i4>
      </vt:variant>
    </vt:vector>
  </HeadingPairs>
  <TitlesOfParts>
    <vt:vector size="348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meta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'Non-Staff Labor'!\r_carry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Ajoku, Colby</cp:lastModifiedBy>
  <cp:lastPrinted>2018-02-26T14:43:15Z</cp:lastPrinted>
  <dcterms:created xsi:type="dcterms:W3CDTF">2017-10-30T12:43:20Z</dcterms:created>
  <dcterms:modified xsi:type="dcterms:W3CDTF">2018-08-21T13:59:40Z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