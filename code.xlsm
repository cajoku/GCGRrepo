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94F2BF67-FC23-4669-A440-7FFAE0FA1A4E}" xr6:coauthVersionLast="34" xr6:coauthVersionMax="34" xr10:uidLastSave="{00000000-0000-0000-0000-000000000000}"/>
  <bookViews>
    <workbookView xWindow="0" yWindow="0" windowWidth="990" windowHeight="480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Errors" sheetId="11" r:id="rId12"/>
    <sheet name="Code" sheetId="10" r:id="rId13"/>
    <sheet name="CostCodes" sheetId="25" r:id="rId14"/>
    <sheet name="splash" sheetId="22" state="hidden" r:id="rId15"/>
  </sheets>
  <externalReferences>
    <externalReference r:id="rId16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2">Code!$A$9</definedName>
    <definedName name="\auto" localSheetId="12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1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2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2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2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2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2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2">Code!$A$29</definedName>
    <definedName name="\safetyTABLE" localSheetId="12">Code!$B$68:$L$72</definedName>
    <definedName name="\salary" localSheetId="12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2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2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2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2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2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4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4" i="27" l="1"/>
  <c r="W87" i="27"/>
  <c r="W86" i="27"/>
  <c r="W85" i="27"/>
  <c r="W84" i="27"/>
  <c r="W83" i="27"/>
  <c r="W82" i="27"/>
  <c r="W81" i="27"/>
  <c r="W80" i="27"/>
  <c r="W79" i="27"/>
  <c r="W78" i="27"/>
  <c r="W77" i="27"/>
  <c r="W76" i="27"/>
  <c r="W75" i="27"/>
  <c r="W74" i="27"/>
  <c r="W73" i="27"/>
  <c r="W72" i="27"/>
  <c r="W71" i="27"/>
  <c r="W70" i="27"/>
  <c r="W69" i="27"/>
  <c r="W68" i="27"/>
  <c r="W67" i="27"/>
  <c r="W66" i="27"/>
  <c r="W65" i="27"/>
  <c r="W64" i="27"/>
  <c r="W63" i="27"/>
  <c r="W62" i="27"/>
  <c r="W61" i="27"/>
  <c r="W60" i="27"/>
  <c r="W59" i="27"/>
  <c r="W58" i="27"/>
  <c r="W57" i="27"/>
  <c r="W56" i="27"/>
  <c r="W55" i="27"/>
  <c r="W54" i="27"/>
  <c r="W53" i="27"/>
  <c r="W52" i="27"/>
  <c r="W51" i="27"/>
  <c r="W50" i="27"/>
  <c r="W49" i="27"/>
  <c r="W48" i="27"/>
  <c r="W47" i="27"/>
  <c r="W46" i="27"/>
  <c r="W45" i="27"/>
  <c r="W44" i="27"/>
  <c r="W43" i="27"/>
  <c r="W42" i="27"/>
  <c r="W41" i="27"/>
  <c r="W40" i="27"/>
  <c r="W39" i="27"/>
  <c r="W38" i="27"/>
  <c r="W37" i="27"/>
  <c r="W36" i="27"/>
  <c r="W35" i="27"/>
  <c r="W34" i="27"/>
  <c r="W33" i="27"/>
  <c r="W32" i="27"/>
  <c r="W31" i="27"/>
  <c r="W30" i="27"/>
  <c r="W29" i="27"/>
  <c r="W28" i="27"/>
  <c r="W27" i="27"/>
  <c r="W26" i="27"/>
  <c r="W25" i="27"/>
  <c r="W24" i="27"/>
  <c r="W23" i="27"/>
  <c r="W22" i="27"/>
  <c r="W21" i="27"/>
  <c r="W20" i="27"/>
  <c r="W19" i="27"/>
  <c r="W18" i="27"/>
  <c r="W17" i="27"/>
  <c r="W16" i="27"/>
  <c r="W15" i="27"/>
  <c r="W14" i="27"/>
  <c r="W13" i="27"/>
  <c r="N94" i="27"/>
  <c r="N87" i="27"/>
  <c r="N86" i="27"/>
  <c r="N85" i="27"/>
  <c r="N84" i="27"/>
  <c r="N83" i="27"/>
  <c r="N82" i="27"/>
  <c r="N81" i="27"/>
  <c r="N80" i="27"/>
  <c r="N79" i="27"/>
  <c r="N78" i="27"/>
  <c r="N77" i="27"/>
  <c r="N76" i="27"/>
  <c r="N75" i="27"/>
  <c r="N74" i="27"/>
  <c r="N73" i="27"/>
  <c r="N72" i="27"/>
  <c r="N71" i="27"/>
  <c r="N70" i="27"/>
  <c r="N69" i="27"/>
  <c r="N68" i="27"/>
  <c r="N67" i="27"/>
  <c r="N66" i="27"/>
  <c r="N65" i="27"/>
  <c r="N64" i="27"/>
  <c r="N63" i="27"/>
  <c r="N62" i="27"/>
  <c r="N61" i="27"/>
  <c r="N60" i="27"/>
  <c r="N59" i="27"/>
  <c r="N58" i="27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C2" i="28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J17" i="1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H89" i="27" s="1" a="1"/>
  <c r="H89" i="27" s="1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6" i="3"/>
  <c r="K7" i="3"/>
  <c r="H7" i="3"/>
  <c r="H6" i="3"/>
  <c r="I13" i="27" l="1"/>
  <c r="H13" i="27"/>
  <c r="E14" i="27"/>
  <c r="I14" i="27" s="1"/>
  <c r="N11" i="1"/>
  <c r="O11" i="1"/>
  <c r="P11" i="1"/>
  <c r="E5" i="1"/>
  <c r="E7" i="1"/>
  <c r="K14" i="27" l="1"/>
  <c r="H14" i="27"/>
  <c r="E15" i="27"/>
  <c r="I15" i="27" s="1"/>
  <c r="H16" i="1"/>
  <c r="H17" i="1"/>
  <c r="K15" i="27" l="1"/>
  <c r="H15" i="27"/>
  <c r="E16" i="27"/>
  <c r="I16" i="27" s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T13" i="27" l="1"/>
  <c r="T14" i="27"/>
  <c r="T16" i="27"/>
  <c r="T15" i="27"/>
  <c r="Q13" i="27"/>
  <c r="Q14" i="27"/>
  <c r="Q15" i="27"/>
  <c r="K16" i="27"/>
  <c r="Q16" i="27"/>
  <c r="H16" i="27"/>
  <c r="E17" i="27"/>
  <c r="I17" i="27" s="1"/>
  <c r="D22" i="28"/>
  <c r="D47" i="28"/>
  <c r="D8" i="28"/>
  <c r="D15" i="28"/>
  <c r="G15" i="28"/>
  <c r="D12" i="28" s="1"/>
  <c r="G8" i="28"/>
  <c r="D5" i="28" s="1"/>
  <c r="G29" i="28"/>
  <c r="D26" i="28" s="1"/>
  <c r="G22" i="28"/>
  <c r="D19" i="28" s="1"/>
  <c r="K13" i="27" s="1"/>
  <c r="T17" i="27" l="1"/>
  <c r="K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7" i="1"/>
  <c r="AW16" i="1"/>
  <c r="T26" i="27" l="1"/>
  <c r="K26" i="27"/>
  <c r="Q26" i="27"/>
  <c r="H26" i="27"/>
  <c r="E27" i="27"/>
  <c r="I27" i="27" s="1"/>
  <c r="AK17" i="1"/>
  <c r="I13" i="20" s="1"/>
  <c r="L13" i="20" s="1"/>
  <c r="AK16" i="1"/>
  <c r="I12" i="20" s="1"/>
  <c r="L12" i="20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H211" i="24"/>
  <c r="J120" i="23"/>
  <c r="J126" i="23"/>
  <c r="J122" i="23"/>
  <c r="J124" i="23"/>
  <c r="J121" i="23"/>
  <c r="T28" i="10"/>
  <c r="M27" i="10"/>
  <c r="H108" i="23"/>
  <c r="J123" i="23"/>
  <c r="J36" i="23"/>
  <c r="J125" i="23"/>
  <c r="J119" i="23"/>
  <c r="AW34" i="1"/>
  <c r="AV34" i="1"/>
  <c r="T37" i="27" l="1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V32" i="1"/>
  <c r="AW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W28" i="1"/>
  <c r="AV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W30" i="1"/>
  <c r="AV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<sst xmlns="http://schemas.openxmlformats.org/spreadsheetml/2006/main" count="2028" uniqueCount="979">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</sst>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43325.677672916667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146965.68754395607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tabSelected="1" zoomScale="80" zoomScaleNormal="80" workbookViewId="0">
      <pane xSplit="12" topLeftCell="M1" activePane="topRight" state="frozen"/>
      <selection pane="topRight" activeCell="B17" sqref="B1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5" t="str">
        <f>IF(Settings!D4&lt;&gt;0,Settings!D4,"")</f>
        <v/>
      </c>
      <c r="C2" s="695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696" t="str">
        <f>IF(Settings!D5&lt;&gt;0,Settings!D5,"")</f>
        <v/>
      </c>
      <c r="C3" s="696"/>
      <c r="D3" s="400"/>
      <c r="E3" s="401">
        <f ca="1">Settings!\date</f>
        <v>43325.677672916667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1" t="s">
        <v>2</v>
      </c>
      <c r="AM11" s="705" t="s">
        <v>379</v>
      </c>
      <c r="AN11" s="703" t="s">
        <v>380</v>
      </c>
      <c r="AO11" s="697" t="s">
        <v>1</v>
      </c>
      <c r="AP11" s="697" t="s">
        <v>240</v>
      </c>
      <c r="AQ11" s="697" t="s">
        <v>241</v>
      </c>
      <c r="AR11" s="697" t="s">
        <v>245</v>
      </c>
      <c r="AS11" s="697" t="s">
        <v>243</v>
      </c>
      <c r="AT11" s="697" t="s">
        <v>244</v>
      </c>
      <c r="AU11" s="697" t="s">
        <v>247</v>
      </c>
      <c r="AV11" s="697" t="s">
        <v>246</v>
      </c>
      <c r="AW11" s="697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2"/>
      <c r="AM12" s="706"/>
      <c r="AN12" s="704"/>
      <c r="AO12" s="698"/>
      <c r="AP12" s="698"/>
      <c r="AQ12" s="698"/>
      <c r="AR12" s="698"/>
      <c r="AS12" s="698"/>
      <c r="AT12" s="698"/>
      <c r="AU12" s="698"/>
      <c r="AV12" s="698"/>
      <c r="AW12" s="698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>
        <f ca="1">SUM(AL15:AL19)</f>
        <v>293931.37508791214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>
        <f ca="1">AW16/\VACAhrs</f>
        <v>108.24953468667741</v>
      </c>
      <c r="AL16" s="539">
        <f ca="1">SUM(AS16:AV16)</f>
        <v>34071.474425824177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>
        <f ca="1">((D16+E16)/52*(1+\conLIT))*calcRaise(I16,J16,\conRaise)</f>
        <v>32516.017282967034</v>
      </c>
      <c r="AW16" s="546">
        <f ca="1">(((SUM(AP16:AR16)*(AO16&gt;0))+(((D16+E16)/52)*(1+\conLIT)*calcRaise(I16,J16,\conRaise,FALSE)))/(IF(AO16&gt;0,AO16,1)))*52</f>
        <v>225159.032148289</v>
      </c>
      <c r="AX16" s="547"/>
      <c r="AY16" s="548">
        <f ca="1">SUM(AS16:AV16)</f>
        <v>34071.474425824177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>
        <f ca="1">AW17/\VACAhrs</f>
        <v>70.013592378985095</v>
      </c>
      <c r="AL17" s="539">
        <f ca="1">SUM(AS17:AV17)</f>
        <v>112894.21311813188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>
        <f ca="1">((D17+E17)/52*(1+\conLIT))*calcRaise(I17,J17,\conRaise)</f>
        <v>105116.92740384617</v>
      </c>
      <c r="AW17" s="546">
        <f ca="1">(((SUM(AP17:AR17)*(AO17&gt;0))+(((D17+E17)/52)*(1+\conLIT)*calcRaise(I17,J17,\conRaise,FALSE)))/(IF(AO17&gt;0,AO17,1)))*52</f>
        <v>145628.27214828899</v>
      </c>
      <c r="AX17" s="547"/>
      <c r="AY17" s="548">
        <f ca="1">SUM(AS17:AV17)</f>
        <v>112894.21311813188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146965.68754395607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137632.94468681322</v>
      </c>
      <c r="AW18" s="534">
        <f ca="1">SUMIF(AW15:OFFSET(AW18,-1,0),"&gt;0")</f>
        <v>370787.30429657799</v>
      </c>
      <c r="AX18" s="536"/>
      <c r="AY18" s="537">
        <f ca="1">SUMIF(AY15:OFFSET(AY18,-1,0),"&gt;0")</f>
        <v>146965.68754395607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>
        <f ca="1">AW28/\VACAhrs</f>
        <v>0.23990066225165563</v>
      </c>
      <c r="AL28" s="539">
        <f ca="1">SUM(AS28:AV28)</f>
        <v>0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>
        <f ca="1">((D28+E28)/52*(1+\conLIT))*calcRaise(I28,J28,\preRaise)</f>
        <v>0</v>
      </c>
      <c r="AW28" s="546">
        <f ca="1">(((SUM(AP28:AR28)*(AO28&gt;0))+(((D28+E28)/52)*(1+\conLIT)*calcRaise(I28,J28,\preRaise,FALSE)))/(IF(AO28&gt;0,AO28,1)))*52</f>
        <v>498.99337748344368</v>
      </c>
      <c r="AX28" s="547"/>
      <c r="AY28" s="548">
        <f ca="1">SUM(AS28:AV28)</f>
        <v>0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>
        <f ca="1">AW30/\VACAhrs</f>
        <v>6.8868821292775675E-2</v>
      </c>
      <c r="AL30" s="539">
        <f ca="1">SUM(AS30:AV30)</f>
        <v>0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>
        <f ca="1">((D30+E30)/52*(1+\conLIT))*calcRaise(I30,J30,\conRaise)</f>
        <v>0</v>
      </c>
      <c r="AW30" s="546">
        <f ca="1">(((SUM(AP30:AR30)*(AO30&gt;0))+(((D30+E30)/52)*(1+\conLIT)*calcRaise(I30,J30,\conRaise,FALSE)))/(IF(AO30&gt;0,AO30,1)))*52</f>
        <v>143.24714828897339</v>
      </c>
      <c r="AX30" s="547"/>
      <c r="AY30" s="548">
        <f ca="1">SUM(AS30:AV30)</f>
        <v>0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>
        <f ca="1">AW32/\VACAhrs</f>
        <v>0</v>
      </c>
      <c r="AL32" s="539">
        <f ca="1">SUM(AS32:AV32)</f>
        <v>0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>
        <f ca="1">((D32+E32)/52*(1+\conLIT))*calcRaise(I32,J32,\conRaise)</f>
        <v>0</v>
      </c>
      <c r="AW32" s="546">
        <f ca="1">(((SUM(AP32:AR32)*(AO32&gt;0))+(((D32+E32)/52)*(1+\conLIT)*calcRaise(I32,J32,\conRaise,FALSE)))/(IF(AO32&gt;0,AO32,1)))*52</f>
        <v>0</v>
      </c>
      <c r="AX32" s="547"/>
      <c r="AY32" s="548">
        <f ca="1">SUM(AS32:AV32)</f>
        <v>0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>
        <f ca="1">AW34/\VACAhrs</f>
        <v>0.23990066225165563</v>
      </c>
      <c r="AL34" s="539">
        <f ca="1">SUM(AS34:AV34)</f>
        <v>0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>
        <f ca="1">((D34+E34)/52*(1+\preLIT))*calcRaise(I34,J34,\preRaise)</f>
        <v>0</v>
      </c>
      <c r="AW34" s="546">
        <f ca="1">(((SUM(AP34:AR34)*(AO34&gt;0))+(((D34+E34)/52)*(1+\preLIT)*calcRaise(I34,J34,\preRaise,FALSE)))/(IF(AO34&gt;0,AO34,1)))*52</f>
        <v>498.99337748344368</v>
      </c>
      <c r="AX34" s="547"/>
      <c r="AY34" s="548">
        <f ca="1">SUM(AS34:AV34)</f>
        <v>0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AT11:AT12"/>
    <mergeCell ref="AS11:AS12"/>
    <mergeCell ref="AV11:AV12"/>
    <mergeCell ref="AW11:AW12"/>
    <mergeCell ref="AM11:AM12"/>
    <mergeCell ref="AU11:AU12"/>
    <mergeCell ref="AR11:AR12"/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>SUMIF(O9:O97,"[",K9:K97)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4" t="s">
        <v>193</v>
      </c>
      <c r="F59" s="725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4" t="s">
        <v>407</v>
      </c>
      <c r="F60" s="725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4" t="s">
        <v>197</v>
      </c>
      <c r="F66" s="725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4" t="s">
        <v>426</v>
      </c>
      <c r="F67" s="725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4" t="s">
        <v>198</v>
      </c>
      <c r="F68" s="725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2" t="s">
        <v>199</v>
      </c>
      <c r="F69" s="723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6" t="s">
        <v>200</v>
      </c>
      <c r="F72" s="727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6" t="s">
        <v>203</v>
      </c>
      <c r="F78" s="727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4" t="s">
        <v>321</v>
      </c>
      <c r="F86" s="725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2" t="s">
        <v>322</v>
      </c>
      <c r="F87" s="723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4" t="s">
        <v>211</v>
      </c>
      <c r="F91" s="725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4" t="s">
        <v>453</v>
      </c>
      <c r="F92" s="725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4" t="s">
        <v>454</v>
      </c>
      <c r="F93" s="725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 ca="1">SUMIF(O9:O200,"[",K9:K200)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4" t="s">
        <v>35</v>
      </c>
      <c r="F37" s="725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4" t="s">
        <v>37</v>
      </c>
      <c r="F38" s="725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4" t="s">
        <v>429</v>
      </c>
      <c r="F53" s="725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2" t="s">
        <v>464</v>
      </c>
      <c r="F64" s="723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4" t="s">
        <v>70</v>
      </c>
      <c r="F87" s="725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2" t="s">
        <v>75</v>
      </c>
      <c r="F94" s="723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43325.677672916667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>
        <f ca="1">'Staff Detail'!AK16</f>
        <v>108.24953468667741</v>
      </c>
      <c r="J12" s="239">
        <f>'Staff Detail'!AM16</f>
        <v>7.5142857142857142</v>
      </c>
      <c r="K12" s="240" t="s">
        <v>36</v>
      </c>
      <c r="L12" s="241">
        <f t="shared" ref="L12" ca="1" si="1">J12*I12</f>
        <v>813.41793207417595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>
        <f ca="1">'Staff Detail'!AK17</f>
        <v>70.013592378985095</v>
      </c>
      <c r="J13" s="239">
        <f>'Staff Detail'!AM17</f>
        <v>37.571428571428569</v>
      </c>
      <c r="K13" s="240" t="s">
        <v>36</v>
      </c>
      <c r="L13" s="241">
        <f t="shared" ref="L13" ca="1" si="2">J13*I13</f>
        <v>2630.5106850961542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>
        <f ca="1">SUM(L10:L14)</f>
        <v>3443.9286171703302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43325.677672916667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333</vt:i4>
      </vt:variant>
    </vt:vector>
  </HeadingPairs>
  <TitlesOfParts>
    <vt:vector size="346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2018-08-13T20:15:53Z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